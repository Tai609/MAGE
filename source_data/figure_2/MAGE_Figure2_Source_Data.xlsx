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868" windowHeight="13380"/>
  </bookViews>
  <sheets>
    <sheet name="README" sheetId="1" r:id="rId1"/>
    <sheet name="Fig2a Align Summary" sheetId="2" r:id="rId2"/>
    <sheet name="Fig2a Align Raw" sheetId="3" r:id="rId3"/>
    <sheet name="Fig2b Heatmap" sheetId="4" r:id="rId4"/>
    <sheet name="Fig2c-e Model Summary" sheetId="5" r:id="rId5"/>
    <sheet name="Fig2c-e Model Raw" sheetId="6" r:id="rId6"/>
    <sheet name="Data Dictionary" sheetId="7" r:id="rId7"/>
    <sheet name="Provenanc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<sst xmlns="http://schemas.openxmlformats.org/spreadsheetml/2006/main" count="2002" uniqueCount="606">
  <si>
    <t>MAGE Figure 2 Source Data</t>
  </si>
  <si>
    <t>Submission-ready source tables for the five-panel benchmark figure supplied by the author. Values were recovered from project result tables, not digitized from the screenshot.</t>
  </si>
  <si>
    <t>Sheet</t>
  </si>
  <si>
    <t>Figure panel</t>
  </si>
  <si>
    <t>Contents</t>
  </si>
  <si>
    <t>Record count</t>
  </si>
  <si>
    <t>Fig2a Align Summary</t>
  </si>
  <si>
    <t>a</t>
  </si>
  <si>
    <t>Mean ± sample SD for six image–text alignment methods</t>
  </si>
  <si>
    <t>Fig2a Align Raw</t>
  </si>
  <si>
    <t>Per-output pair-level alignment results</t>
  </si>
  <si>
    <t>Fig2b Heatmap</t>
  </si>
  <si>
    <t>b</t>
  </si>
  <si>
    <t>Normalized model-level Image, Text, KG and Overall scores</t>
  </si>
  <si>
    <t>Fig2c-e Model Summary</t>
  </si>
  <si>
    <t>b–e</t>
  </si>
  <si>
    <t>Model-level plotted values and distribution means</t>
  </si>
  <si>
    <t>Fig2c-e Model Raw</t>
  </si>
  <si>
    <t>c,e; supports b,d</t>
  </si>
  <si>
    <t>Per-output quality, time, cost and token values</t>
  </si>
  <si>
    <t>Data Dictionary</t>
  </si>
  <si>
    <t>all</t>
  </si>
  <si>
    <t>Variable definitions, units and derivations</t>
  </si>
  <si>
    <t>Provenance</t>
  </si>
  <si>
    <t>Relative source paths, row counts and SHA-256 hashes</t>
  </si>
  <si>
    <t>Calculation and interpretation notes</t>
  </si>
  <si>
    <t>1. Panel a: points are arithmetic means across 20 benchmark outputs; error bars are ±1 sample standard deviation. Precision, recall and F1 are stored on a 0–100 scale.</t>
  </si>
  <si>
    <t>2. CKL-Align corresponds to the source method key main_full_output. The workbook keeps the source key and the figure-facing label side by side.</t>
  </si>
  <si>
    <t>3. Panel b: heatmap cells are normalized to 0–1. Overall = (Image-F1 + Text-F1 + KG) / 3 using model-level aggregate metrics.</t>
  </si>
  <si>
    <t>4. Panel c: time_sec is end-to-end parallel runtime in seconds per article. The plotted y-axis is logarithmic; the source data remain in linear seconds.</t>
  </si>
  <si>
    <t>5. Panel d: each bar is the arithmetic mean of per-output cost_usd for that model. Costs are estimates under the benchmark pricing assumptions.</t>
  </si>
  <si>
    <t>6. Panel e: each per-output Overall score = (image_f1 + text_f1 + kg_score) / 3. Its model-level distribution mean can differ slightly from panel-b Overall because the text summary uses its report-level aggregation rather than the mean of per-output Text-F1 values.</t>
  </si>
  <si>
    <t>7. Formula-derived columns are preserved in the workbook so recalculation and audit are possible. Source columns remain unmodified.</t>
  </si>
  <si>
    <t>8. Panel-a alignment set (n=20) uses output IDs 1, 2, 3, 4, 5, 6, 9, 11, 20, 22, 26, 44, 53, 145, 147, 454, 482, 1053, 1083 and 1491. Panels b–e use a distinct shared-model set: IDs 1, 2, 3, 4, 5, 6, 8, 9, 10, 12, 20, 22, 24, 26, 29, 44, 52, 53, 145 and 147 (9 models × 20 outputs = 180 observations).</t>
  </si>
  <si>
    <t>figure_order</t>
  </si>
  <si>
    <t>method_key</t>
  </si>
  <si>
    <t>figure_method</t>
  </si>
  <si>
    <t>n_outputs</t>
  </si>
  <si>
    <t>mean_precision_pct</t>
  </si>
  <si>
    <t>sd_precision_pct</t>
  </si>
  <si>
    <t>mean_recall_pct</t>
  </si>
  <si>
    <t>sd_recall_pct</t>
  </si>
  <si>
    <t>mean_f1_pct</t>
  </si>
  <si>
    <t>sd_f1_pct</t>
  </si>
  <si>
    <t>min_f1_pct</t>
  </si>
  <si>
    <t>max_f1_pct</t>
  </si>
  <si>
    <t>main_full_output</t>
  </si>
  <si>
    <t>CKL-Align</t>
  </si>
  <si>
    <t>llm_direct_alignment</t>
  </si>
  <si>
    <t>LLM direct</t>
  </si>
  <si>
    <t>lexical_clip_fusion</t>
  </si>
  <si>
    <t>Lexical + CLIP</t>
  </si>
  <si>
    <t>rule_only</t>
  </si>
  <si>
    <t>Rule-only</t>
  </si>
  <si>
    <t>clip_hungarian</t>
  </si>
  <si>
    <t>CLIP + Hungarian</t>
  </si>
  <si>
    <t>clip_mutual_knn</t>
  </si>
  <si>
    <t>CLIP mutual-kNN</t>
  </si>
  <si>
    <t>method_order</t>
  </si>
  <si>
    <t>source_display_name</t>
  </si>
  <si>
    <t>output_id</t>
  </si>
  <si>
    <t>output_label</t>
  </si>
  <si>
    <t>precision_pct</t>
  </si>
  <si>
    <t>recall_pct</t>
  </si>
  <si>
    <t>f1_source_pct</t>
  </si>
  <si>
    <t>f1_recalc_pct</t>
  </si>
  <si>
    <t>f1_delta_pct</t>
  </si>
  <si>
    <t>rank_by_output_f1</t>
  </si>
  <si>
    <t>gt_entities_total</t>
  </si>
  <si>
    <t>gt_pair_eligible_entities</t>
  </si>
  <si>
    <t>predicted_pairs</t>
  </si>
  <si>
    <t>anchor_scoped_predicted_pairs</t>
  </si>
  <si>
    <t>correct_pairs</t>
  </si>
  <si>
    <t>false_pairs_total</t>
  </si>
  <si>
    <t>false_pairs_wrong_text</t>
  </si>
  <si>
    <t>false_pairs_non_eligible</t>
  </si>
  <si>
    <t>missed_eligible_pairs</t>
  </si>
  <si>
    <t>anchor_scoped_precision_pct</t>
  </si>
  <si>
    <t>anchor_scoped_f1_pct</t>
  </si>
  <si>
    <t>strict_precision_pct</t>
  </si>
  <si>
    <t>strict_f1_pct</t>
  </si>
  <si>
    <t>prediction_source</t>
  </si>
  <si>
    <t>run_status</t>
  </si>
  <si>
    <t>metric_profile</t>
  </si>
  <si>
    <t>evaluation_json_relpath</t>
  </si>
  <si>
    <t>Main hybrid</t>
  </si>
  <si>
    <t>Output 1</t>
  </si>
  <si>
    <t>merged_graph_visual_evidence</t>
  </si>
  <si>
    <t>success</t>
  </si>
  <si>
    <t>alignment-quality</t>
  </si>
  <si>
    <t>CATDA/output_extract/output_1/graph/pair_alignment_quality_eval/pair_alignment_quality_evaluation.json</t>
  </si>
  <si>
    <t>Output 2</t>
  </si>
  <si>
    <t>CATDA/output_extract/output_2/graph/pair_alignment_quality_eval/pair_alignment_quality_evaluation.json</t>
  </si>
  <si>
    <t>Output 3</t>
  </si>
  <si>
    <t>CATDA/output_extract/output_3/graph/pair_alignment_quality_eval/pair_alignment_quality_evaluation.json</t>
  </si>
  <si>
    <t>Output 4</t>
  </si>
  <si>
    <t>CATDA/output_extract/output_4/graph/pair_alignment_quality_eval/pair_alignment_quality_evaluation.json</t>
  </si>
  <si>
    <t>Output 5</t>
  </si>
  <si>
    <t>CATDA/output_extract/output_5/graph/pair_alignment_quality_eval/pair_alignment_quality_evaluation.json</t>
  </si>
  <si>
    <t>Output 6</t>
  </si>
  <si>
    <t>CATDA/output_extract/output_6/graph/pair_alignment_quality_eval/pair_alignment_quality_evaluation.json</t>
  </si>
  <si>
    <t>Output 9</t>
  </si>
  <si>
    <t>CATDA/output_extract/output_9/graph/pair_alignment_quality_eval/pair_alignment_quality_evaluation.json</t>
  </si>
  <si>
    <t>Output 11</t>
  </si>
  <si>
    <t>CATDA/output_extract/output_11/graph/pair_alignment_quality_eval/pair_alignment_quality_evaluation.json</t>
  </si>
  <si>
    <t>Output 20</t>
  </si>
  <si>
    <t>CATDA/output_extract/output_20/graph/pair_alignment_quality_eval/pair_alignment_quality_evaluation.json</t>
  </si>
  <si>
    <t>Output 22</t>
  </si>
  <si>
    <t>CATDA/output_extract/output_22/graph/pair_alignment_quality_eval/pair_alignment_quality_evaluation.json</t>
  </si>
  <si>
    <t>Output 26</t>
  </si>
  <si>
    <t>CATDA/output_extract/output_26/graph/pair_alignment_quality_eval/pair_alignment_quality_evaluation.json</t>
  </si>
  <si>
    <t>Output 44</t>
  </si>
  <si>
    <t>CATDA/output_extract/output_44/graph/pair_alignment_quality_eval/pair_alignment_quality_evaluation.json</t>
  </si>
  <si>
    <t>Output 53</t>
  </si>
  <si>
    <t>CATDA/output_extract/output_53/graph/pair_alignment_quality_eval/pair_alignment_quality_evaluation.json</t>
  </si>
  <si>
    <t>Output 145</t>
  </si>
  <si>
    <t>CATDA/output_extract/output_145/graph/pair_alignment_quality_eval/pair_alignment_quality_evaluation.json</t>
  </si>
  <si>
    <t>Output 147</t>
  </si>
  <si>
    <t>CATDA/output_extract/output_147/graph/pair_alignment_quality_eval/pair_alignment_quality_evaluation.json</t>
  </si>
  <si>
    <t>Output 454</t>
  </si>
  <si>
    <t>CATDA/output_extract/output_454/graph/pair_alignment_quality_eval/pair_alignment_quality_evaluation.json</t>
  </si>
  <si>
    <t>Output 482</t>
  </si>
  <si>
    <t>CATDA/output_extract/output_482/graph/pair_alignment_quality_eval/pair_alignment_quality_evaluation.json</t>
  </si>
  <si>
    <t>Output 1053</t>
  </si>
  <si>
    <t>CATDA/output_extract/output_1053/graph/pair_alignment_quality_eval/pair_alignment_quality_evaluation.json</t>
  </si>
  <si>
    <t>Output 1083</t>
  </si>
  <si>
    <t>CATDA/output_extract/output_1083/graph/pair_alignment_quality_eval/pair_alignment_quality_evaluation.json</t>
  </si>
  <si>
    <t>Output 1491</t>
  </si>
  <si>
    <t>CATDA/output_extract/output_1491/graph/pair_alignment_quality_eval/pair_alignment_quality_evaluation.json</t>
  </si>
  <si>
    <t>LLM direct alignment</t>
  </si>
  <si>
    <t>alignment_pairs_csv</t>
  </si>
  <si>
    <t>CATDA/output_extract/output_1/graph/llm_direct_alignment/pair_alignment_quality_eval/pair_alignment_quality_evaluation.json</t>
  </si>
  <si>
    <t>CATDA/output_extract/output_2/graph/llm_direct_alignment/pair_alignment_quality_eval/pair_alignment_quality_evaluation.json</t>
  </si>
  <si>
    <t>CATDA/output_extract/output_3/graph/llm_direct_alignment/pair_alignment_quality_eval/pair_alignment_quality_evaluation.json</t>
  </si>
  <si>
    <t>CATDA/output_extract/output_4/graph/llm_direct_alignment/pair_alignment_quality_eval/pair_alignment_quality_evaluation.json</t>
  </si>
  <si>
    <t>CATDA/output_extract/output_5/graph/llm_direct_alignment/pair_alignment_quality_eval/pair_alignment_quality_evaluation.json</t>
  </si>
  <si>
    <t>CATDA/output_extract/output_6/graph/llm_direct_alignment/pair_alignment_quality_eval/pair_alignment_quality_evaluation.json</t>
  </si>
  <si>
    <t>CATDA/output_extract/output_9/graph/llm_direct_alignment/pair_alignment_quality_eval/pair_alignment_quality_evaluation.json</t>
  </si>
  <si>
    <t>CATDA/output_extract/output_11/graph/llm_direct_alignment/pair_alignment_quality_eval/pair_alignment_quality_evaluation.json</t>
  </si>
  <si>
    <t>CATDA/output_extract/output_20/graph/llm_direct_alignment/pair_alignment_quality_eval/pair_alignment_quality_evaluation.json</t>
  </si>
  <si>
    <t>CATDA/output_extract/output_22/graph/llm_direct_alignment/pair_alignment_quality_eval/pair_alignment_quality_evaluation.json</t>
  </si>
  <si>
    <t>CATDA/output_extract/output_26/graph/llm_direct_alignment/pair_alignment_quality_eval/pair_alignment_quality_evaluation.json</t>
  </si>
  <si>
    <t>CATDA/output_extract/output_44/graph/llm_direct_alignment/pair_alignment_quality_eval/pair_alignment_quality_evaluation.json</t>
  </si>
  <si>
    <t>CATDA/output_extract/output_53/graph/llm_direct_alignment/pair_alignment_quality_eval/pair_alignment_quality_evaluation.json</t>
  </si>
  <si>
    <t>CATDA/output_extract/output_145/graph/llm_direct_alignment/pair_alignment_quality_eval/pair_alignment_quality_evaluation.json</t>
  </si>
  <si>
    <t>CATDA/output_extract/output_147/graph/llm_direct_alignment/pair_alignment_quality_eval/pair_alignment_quality_evaluation.json</t>
  </si>
  <si>
    <t>CATDA/output_extract/output_454/graph/llm_direct_alignment/pair_alignment_quality_eval/pair_alignment_quality_evaluation.json</t>
  </si>
  <si>
    <t>CATDA/output_extract/output_482/graph/llm_direct_alignment/pair_alignment_quality_eval/pair_alignment_quality_evaluation.json</t>
  </si>
  <si>
    <t>CATDA/output_extract/output_1053/graph/llm_direct_alignment/pair_alignment_quality_eval/pair_alignment_quality_evaluation.json</t>
  </si>
  <si>
    <t>CATDA/output_extract/output_1083/graph/llm_direct_alignment/pair_alignment_quality_eval/pair_alignment_quality_evaluation.json</t>
  </si>
  <si>
    <t>CATDA/output_extract/output_1491/graph/llm_direct_alignment/pair_alignment_quality_eval/pair_alignment_quality_evaluation.json</t>
  </si>
  <si>
    <t>Lexical + CLIP fusion</t>
  </si>
  <si>
    <t>CATDA/output_extract/output_1/graph/lexical_clip_fusion/pair_alignment_quality_eval/pair_alignment_quality_evaluation.json</t>
  </si>
  <si>
    <t>CATDA/output_extract/output_2/graph/lexical_clip_fusion/pair_alignment_quality_eval/pair_alignment_quality_evaluation.json</t>
  </si>
  <si>
    <t>CATDA/output_extract/output_3/graph/lexical_clip_fusion/pair_alignment_quality_eval/pair_alignment_quality_evaluation.json</t>
  </si>
  <si>
    <t>CATDA/output_extract/output_4/graph/lexical_clip_fusion/pair_alignment_quality_eval/pair_alignment_quality_evaluation.json</t>
  </si>
  <si>
    <t>CATDA/output_extract/output_5/graph/lexical_clip_fusion/pair_alignment_quality_eval/pair_alignment_quality_evaluation.json</t>
  </si>
  <si>
    <t>CATDA/output_extract/output_6/graph/lexical_clip_fusion/pair_alignment_quality_eval/pair_alignment_quality_evaluation.json</t>
  </si>
  <si>
    <t>CATDA/output_extract/output_9/graph/lexical_clip_fusion/pair_alignment_quality_eval/pair_alignment_quality_evaluation.json</t>
  </si>
  <si>
    <t>CATDA/output_extract/output_11/graph/lexical_clip_fusion/pair_alignment_quality_eval/pair_alignment_quality_evaluation.json</t>
  </si>
  <si>
    <t>CATDA/output_extract/output_20/graph/lexical_clip_fusion/pair_alignment_quality_eval/pair_alignment_quality_evaluation.json</t>
  </si>
  <si>
    <t>CATDA/output_extract/output_22/graph/lexical_clip_fusion/pair_alignment_quality_eval/pair_alignment_quality_evaluation.json</t>
  </si>
  <si>
    <t>CATDA/output_extract/output_26/graph/lexical_clip_fusion/pair_alignment_quality_eval/pair_alignment_quality_evaluation.json</t>
  </si>
  <si>
    <t>CATDA/output_extract/output_44/graph/lexical_clip_fusion/pair_alignment_quality_eval/pair_alignment_quality_evaluation.json</t>
  </si>
  <si>
    <t>CATDA/output_extract/output_53/graph/lexical_clip_fusion/pair_alignment_quality_eval/pair_alignment_quality_evaluation.json</t>
  </si>
  <si>
    <t>CATDA/output_extract/output_145/graph/lexical_clip_fusion/pair_alignment_quality_eval/pair_alignment_quality_evaluation.json</t>
  </si>
  <si>
    <t>CATDA/output_extract/output_147/graph/lexical_clip_fusion/pair_alignment_quality_eval/pair_alignment_quality_evaluation.json</t>
  </si>
  <si>
    <t>CATDA/output_extract/output_454/graph/lexical_clip_fusion/pair_alignment_quality_eval/pair_alignment_quality_evaluation.json</t>
  </si>
  <si>
    <t>CATDA/output_extract/output_482/graph/lexical_clip_fusion/pair_alignment_quality_eval/pair_alignment_quality_evaluation.json</t>
  </si>
  <si>
    <t>CATDA/output_extract/output_1053/graph/lexical_clip_fusion/pair_alignment_quality_eval/pair_alignment_quality_evaluation.json</t>
  </si>
  <si>
    <t>CATDA/output_extract/output_1083/graph/lexical_clip_fusion/pair_alignment_quality_eval/pair_alignment_quality_evaluation.json</t>
  </si>
  <si>
    <t>CATDA/output_extract/output_1491/graph/lexical_clip_fusion/pair_alignment_quality_eval/pair_alignment_quality_evaluation.json</t>
  </si>
  <si>
    <t>CATDA/output_extract/output_1/graph/rule_only/pair_alignment_quality_eval/pair_alignment_quality_evaluation.json</t>
  </si>
  <si>
    <t>CATDA/output_extract/output_2/graph/rule_only/pair_alignment_quality_eval/pair_alignment_quality_evaluation.json</t>
  </si>
  <si>
    <t>CATDA/output_extract/output_3/graph/rule_only/pair_alignment_quality_eval/pair_alignment_quality_evaluation.json</t>
  </si>
  <si>
    <t>CATDA/output_extract/output_4/graph/rule_only/pair_alignment_quality_eval/pair_alignment_quality_evaluation.json</t>
  </si>
  <si>
    <t>CATDA/output_extract/output_5/graph/rule_only/pair_alignment_quality_eval/pair_alignment_quality_evaluation.json</t>
  </si>
  <si>
    <t>CATDA/output_extract/output_6/graph/rule_only/pair_alignment_quality_eval/pair_alignment_quality_evaluation.json</t>
  </si>
  <si>
    <t>CATDA/output_extract/output_9/graph/rule_only/pair_alignment_quality_eval/pair_alignment_quality_evaluation.json</t>
  </si>
  <si>
    <t>CATDA/output_extract/output_11/graph/rule_only/pair_alignment_quality_eval/pair_alignment_quality_evaluation.json</t>
  </si>
  <si>
    <t>CATDA/output_extract/output_20/graph/rule_only/pair_alignment_quality_eval/pair_alignment_quality_evaluation.json</t>
  </si>
  <si>
    <t>CATDA/output_extract/output_22/graph/rule_only/pair_alignment_quality_eval/pair_alignment_quality_evaluation.json</t>
  </si>
  <si>
    <t>CATDA/output_extract/output_26/graph/rule_only/pair_alignment_quality_eval/pair_alignment_quality_evaluation.json</t>
  </si>
  <si>
    <t>CATDA/output_extract/output_44/graph/rule_only/pair_alignment_quality_eval/pair_alignment_quality_evaluation.json</t>
  </si>
  <si>
    <t>CATDA/output_extract/output_53/graph/rule_only/pair_alignment_quality_eval/pair_alignment_quality_evaluation.json</t>
  </si>
  <si>
    <t>CATDA/output_extract/output_145/graph/rule_only/pair_alignment_quality_eval/pair_alignment_quality_evaluation.json</t>
  </si>
  <si>
    <t>CATDA/output_extract/output_147/graph/rule_only/pair_alignment_quality_eval/pair_alignment_quality_evaluation.json</t>
  </si>
  <si>
    <t>CATDA/output_extract/output_454/graph/rule_only/pair_alignment_quality_eval/pair_alignment_quality_evaluation.json</t>
  </si>
  <si>
    <t>CATDA/output_extract/output_482/graph/rule_only/pair_alignment_quality_eval/pair_alignment_quality_evaluation.json</t>
  </si>
  <si>
    <t>CATDA/output_extract/output_1053/graph/rule_only/pair_alignment_quality_eval/pair_alignment_quality_evaluation.json</t>
  </si>
  <si>
    <t>CATDA/output_extract/output_1083/graph/rule_only/pair_alignment_quality_eval/pair_alignment_quality_evaluation.json</t>
  </si>
  <si>
    <t>CATDA/output_extract/output_1491/graph/rule_only/pair_alignment_quality_eval/pair_alignment_quality_evaluation.json</t>
  </si>
  <si>
    <t>CATDA/output_extract/output_1/graph/clip_hungarian/pair_alignment_quality_eval/pair_alignment_quality_evaluation.json</t>
  </si>
  <si>
    <t>CATDA/output_extract/output_2/graph/clip_hungarian/pair_alignment_quality_eval/pair_alignment_quality_evaluation.json</t>
  </si>
  <si>
    <t>CATDA/output_extract/output_3/graph/clip_hungarian/pair_alignment_quality_eval/pair_alignment_quality_evaluation.json</t>
  </si>
  <si>
    <t>CATDA/output_extract/output_4/graph/clip_hungarian/pair_alignment_quality_eval/pair_alignment_quality_evaluation.json</t>
  </si>
  <si>
    <t>CATDA/output_extract/output_5/graph/clip_hungarian/pair_alignment_quality_eval/pair_alignment_quality_evaluation.json</t>
  </si>
  <si>
    <t>CATDA/output_extract/output_6/graph/clip_hungarian/pair_alignment_quality_eval/pair_alignment_quality_evaluation.json</t>
  </si>
  <si>
    <t>CATDA/output_extract/output_9/graph/clip_hungarian/pair_alignment_quality_eval/pair_alignment_quality_evaluation.json</t>
  </si>
  <si>
    <t>CATDA/output_extract/output_11/graph/clip_hungarian/pair_alignment_quality_eval/pair_alignment_quality_evaluation.json</t>
  </si>
  <si>
    <t>CATDA/output_extract/output_20/graph/clip_hungarian/pair_alignment_quality_eval/pair_alignment_quality_evaluation.json</t>
  </si>
  <si>
    <t>CATDA/output_extract/output_22/graph/clip_hungarian/pair_alignment_quality_eval/pair_alignment_quality_evaluation.json</t>
  </si>
  <si>
    <t>CATDA/output_extract/output_26/graph/clip_hungarian/pair_alignment_quality_eval/pair_alignment_quality_evaluation.json</t>
  </si>
  <si>
    <t>CATDA/output_extract/output_44/graph/clip_hungarian/pair_alignment_quality_eval/pair_alignment_quality_evaluation.json</t>
  </si>
  <si>
    <t>CATDA/output_extract/output_53/graph/clip_hungarian/pair_alignment_quality_eval/pair_alignment_quality_evaluation.json</t>
  </si>
  <si>
    <t>CATDA/output_extract/output_145/graph/clip_hungarian/pair_alignment_quality_eval/pair_alignment_quality_evaluation.json</t>
  </si>
  <si>
    <t>CATDA/output_extract/output_147/graph/clip_hungarian/pair_alignment_quality_eval/pair_alignment_quality_evaluation.json</t>
  </si>
  <si>
    <t>CATDA/output_extract/output_454/graph/clip_hungarian/pair_alignment_quality_eval/pair_alignment_quality_evaluation.json</t>
  </si>
  <si>
    <t>CATDA/output_extract/output_482/graph/clip_hungarian/pair_alignment_quality_eval/pair_alignment_quality_evaluation.json</t>
  </si>
  <si>
    <t>CATDA/output_extract/output_1053/graph/clip_hungarian/pair_alignment_quality_eval/pair_alignment_quality_evaluation.json</t>
  </si>
  <si>
    <t>CATDA/output_extract/output_1083/graph/clip_hungarian/pair_alignment_quality_eval/pair_alignment_quality_evaluation.json</t>
  </si>
  <si>
    <t>CATDA/output_extract/output_1491/graph/clip_hungarian/pair_alignment_quality_eval/pair_alignment_quality_evaluation.json</t>
  </si>
  <si>
    <t>CATDA/output_extract/output_1/graph/clip_mutual_knn/pair_alignment_quality_eval/pair_alignment_quality_evaluation.json</t>
  </si>
  <si>
    <t>CATDA/output_extract/output_2/graph/clip_mutual_knn/pair_alignment_quality_eval/pair_alignment_quality_evaluation.json</t>
  </si>
  <si>
    <t>CATDA/output_extract/output_3/graph/clip_mutual_knn/pair_alignment_quality_eval/pair_alignment_quality_evaluation.json</t>
  </si>
  <si>
    <t>CATDA/output_extract/output_4/graph/clip_mutual_knn/pair_alignment_quality_eval/pair_alignment_quality_evaluation.json</t>
  </si>
  <si>
    <t>CATDA/output_extract/output_5/graph/clip_mutual_knn/pair_alignment_quality_eval/pair_alignment_quality_evaluation.json</t>
  </si>
  <si>
    <t>CATDA/output_extract/output_6/graph/clip_mutual_knn/pair_alignment_quality_eval/pair_alignment_quality_evaluation.json</t>
  </si>
  <si>
    <t>CATDA/output_extract/output_9/graph/clip_mutual_knn/pair_alignment_quality_eval/pair_alignment_quality_evaluation.json</t>
  </si>
  <si>
    <t>CATDA/output_extract/output_11/graph/clip_mutual_knn/pair_alignment_quality_eval/pair_alignment_quality_evaluation.json</t>
  </si>
  <si>
    <t>CATDA/output_extract/output_20/graph/clip_mutual_knn/pair_alignment_quality_eval/pair_alignment_quality_evaluation.json</t>
  </si>
  <si>
    <t>CATDA/output_extract/output_22/graph/clip_mutual_knn/pair_alignment_quality_eval/pair_alignment_quality_evaluation.json</t>
  </si>
  <si>
    <t>CATDA/output_extract/output_26/graph/clip_mutual_knn/pair_alignment_quality_eval/pair_alignment_quality_evaluation.json</t>
  </si>
  <si>
    <t>CATDA/output_extract/output_44/graph/clip_mutual_knn/pair_alignment_quality_eval/pair_alignment_quality_evaluation.json</t>
  </si>
  <si>
    <t>CATDA/output_extract/output_53/graph/clip_mutual_knn/pair_alignment_quality_eval/pair_alignment_quality_evaluation.json</t>
  </si>
  <si>
    <t>CATDA/output_extract/output_145/graph/clip_mutual_knn/pair_alignment_quality_eval/pair_alignment_quality_evaluation.json</t>
  </si>
  <si>
    <t>CATDA/output_extract/output_147/graph/clip_mutual_knn/pair_alignment_quality_eval/pair_alignment_quality_evaluation.json</t>
  </si>
  <si>
    <t>CATDA/output_extract/output_454/graph/clip_mutual_knn/pair_alignment_quality_eval/pair_alignment_quality_evaluation.json</t>
  </si>
  <si>
    <t>CATDA/output_extract/output_482/graph/clip_mutual_knn/pair_alignment_quality_eval/pair_alignment_quality_evaluation.json</t>
  </si>
  <si>
    <t>CATDA/output_extract/output_1053/graph/clip_mutual_knn/pair_alignment_quality_eval/pair_alignment_quality_evaluation.json</t>
  </si>
  <si>
    <t>CATDA/output_extract/output_1083/graph/clip_mutual_knn/pair_alignment_quality_eval/pair_alignment_quality_evaluation.json</t>
  </si>
  <si>
    <t>CATDA/output_extract/output_1491/graph/clip_mutual_knn/pair_alignment_quality_eval/pair_alignment_quality_evaluation.json</t>
  </si>
  <si>
    <t>model_short</t>
  </si>
  <si>
    <t>Image-P</t>
  </si>
  <si>
    <t>Image-R</t>
  </si>
  <si>
    <t>Image-F1</t>
  </si>
  <si>
    <t>Text-P</t>
  </si>
  <si>
    <t>Text-R</t>
  </si>
  <si>
    <t>Text-F1</t>
  </si>
  <si>
    <t>KG</t>
  </si>
  <si>
    <t>Overall</t>
  </si>
  <si>
    <t>Gemini-3-Flash</t>
  </si>
  <si>
    <t>Gemini-2.5-Flash-NT</t>
  </si>
  <si>
    <t>Gemini-3-Flash-NT</t>
  </si>
  <si>
    <t>Grok-4.1-fast</t>
  </si>
  <si>
    <t>Grok-4.20-beta</t>
  </si>
  <si>
    <t>Gemini-2.5-Flash</t>
  </si>
  <si>
    <t>Claude-Haiku-4.5</t>
  </si>
  <si>
    <t>GPT-5.4-mini</t>
  </si>
  <si>
    <t>GPT-5.4-nano</t>
  </si>
  <si>
    <t>model_id</t>
  </si>
  <si>
    <t>image_precision_pct</t>
  </si>
  <si>
    <t>image_recall_pct</t>
  </si>
  <si>
    <t>image_f1_pct</t>
  </si>
  <si>
    <t>text_precision_pct</t>
  </si>
  <si>
    <t>text_recall_pct</t>
  </si>
  <si>
    <t>text_f1_pct</t>
  </si>
  <si>
    <t>kg_score_pct</t>
  </si>
  <si>
    <t>overall_heatmap_pct</t>
  </si>
  <si>
    <t>mean_time_sec</t>
  </si>
  <si>
    <t>mean_cost_usd</t>
  </si>
  <si>
    <t>mean_overall_distribution_pct</t>
  </si>
  <si>
    <t>heatmap_minus_distribution_mean_pct</t>
  </si>
  <si>
    <t>gemini-3-flash-preview</t>
  </si>
  <si>
    <t>gemini-2.5-flash-nothinking</t>
  </si>
  <si>
    <t>gemini-3-flash-preview-nothinking</t>
  </si>
  <si>
    <t>grok-4-1-fast-non-reasoning-latest</t>
  </si>
  <si>
    <t>grok-4.20-beta-0309-non-reasoning</t>
  </si>
  <si>
    <t>gemini-2.5-flash</t>
  </si>
  <si>
    <t>claude-haiku-4-5-20251001</t>
  </si>
  <si>
    <t>gpt-5.4-mini</t>
  </si>
  <si>
    <t>gpt-5.4-nano-2026-03-17</t>
  </si>
  <si>
    <t>model_order</t>
  </si>
  <si>
    <t>kg_schema_0_1</t>
  </si>
  <si>
    <t>kg_section_connectivity_0_1</t>
  </si>
  <si>
    <t>kg_duplicate_clean_0_1</t>
  </si>
  <si>
    <t>time_sec</t>
  </si>
  <si>
    <t>cost_usd</t>
  </si>
  <si>
    <t>prompt_tokens</t>
  </si>
  <si>
    <t>completion_tokens</t>
  </si>
  <si>
    <t>total_tokens</t>
  </si>
  <si>
    <t>parallel_runtime_sec</t>
  </si>
  <si>
    <t>serial_runtime_sec</t>
  </si>
  <si>
    <t>text_extraction_time_sec</t>
  </si>
  <si>
    <t>image_extraction_time_sec</t>
  </si>
  <si>
    <t>alignment_time_sec</t>
  </si>
  <si>
    <t>overall_source_pct</t>
  </si>
  <si>
    <t>overall_recalc_pct</t>
  </si>
  <si>
    <t>overall_delta_pct</t>
  </si>
  <si>
    <t>metadata_relpath</t>
  </si>
  <si>
    <t>gemini-3-flash-preview/output_1/metadata/full_result.json</t>
  </si>
  <si>
    <t>gemini-3-flash-preview/output_2/metadata/full_result.json</t>
  </si>
  <si>
    <t>gemini-3-flash-preview/output_3/metadata/full_result.json</t>
  </si>
  <si>
    <t>gemini-3-flash-preview/output_4/metadata/full_result.json</t>
  </si>
  <si>
    <t>gemini-3-flash-preview/output_5/metadata/full_result.json</t>
  </si>
  <si>
    <t>gemini-3-flash-preview/output_6/metadata/full_result.json</t>
  </si>
  <si>
    <t>gemini-3-flash-preview/output_8/metadata/full_result.json</t>
  </si>
  <si>
    <t>gemini-3-flash-preview/output_9/metadata/full_result.json</t>
  </si>
  <si>
    <t>gemini-3-flash-preview/output_10/metadata/full_result.json</t>
  </si>
  <si>
    <t>gemini-3-flash-preview/output_12/metadata/full_result.json</t>
  </si>
  <si>
    <t>gemini-3-flash-preview/output_20/metadata/full_result.json</t>
  </si>
  <si>
    <t>gemini-3-flash-preview/output_22/metadata/full_result.json</t>
  </si>
  <si>
    <t>gemini-3-flash-preview/output_24/metadata/full_result.json</t>
  </si>
  <si>
    <t>gemini-3-flash-preview/output_26/metadata/full_result.json</t>
  </si>
  <si>
    <t>gemini-3-flash-preview/output_29/metadata/full_result.json</t>
  </si>
  <si>
    <t>gemini-3-flash-preview/output_44/metadata/full_result.json</t>
  </si>
  <si>
    <t>gemini-3-flash-preview/output_52/metadata/full_result.json</t>
  </si>
  <si>
    <t>gemini-3-flash-preview/output_53/metadata/full_result.json</t>
  </si>
  <si>
    <t>gemini-3-flash-preview/output_145/metadata/full_result.json</t>
  </si>
  <si>
    <t>gemini-3-flash-preview/output_147/metadata/full_result.json</t>
  </si>
  <si>
    <t>gemini-2.5-flash-nothinking/output_1/metadata/full_result.json</t>
  </si>
  <si>
    <t>gemini-2.5-flash-nothinking/output_2/metadata/full_result.json</t>
  </si>
  <si>
    <t>gemini-2.5-flash-nothinking/output_3/metadata/full_result.json</t>
  </si>
  <si>
    <t>gemini-2.5-flash-nothinking/output_4/metadata/full_result.json</t>
  </si>
  <si>
    <t>gemini-2.5-flash-nothinking/output_5/metadata/full_result.json</t>
  </si>
  <si>
    <t>gemini-2.5-flash-nothinking/output_6/metadata/full_result.json</t>
  </si>
  <si>
    <t>gemini-2.5-flash-nothinking/output_8/metadata/full_result.json</t>
  </si>
  <si>
    <t>gemini-2.5-flash-nothinking/output_9/metadata/full_result.json</t>
  </si>
  <si>
    <t>gemini-2.5-flash-nothinking/output_10/metadata/full_result.json</t>
  </si>
  <si>
    <t>gemini-2.5-flash-nothinking/output_12/metadata/full_result.json</t>
  </si>
  <si>
    <t>gemini-2.5-flash-nothinking/output_20/metadata/full_result.json</t>
  </si>
  <si>
    <t>gemini-2.5-flash-nothinking/output_22/metadata/full_result.json</t>
  </si>
  <si>
    <t>gemini-2.5-flash-nothinking/output_24/metadata/full_result.json</t>
  </si>
  <si>
    <t>gemini-2.5-flash-nothinking/output_26/metadata/full_result.json</t>
  </si>
  <si>
    <t>gemini-2.5-flash-nothinking/output_29/metadata/full_result.json</t>
  </si>
  <si>
    <t>gemini-2.5-flash-nothinking/output_44/metadata/full_result.json</t>
  </si>
  <si>
    <t>gemini-2.5-flash-nothinking/output_52/metadata/full_result.json</t>
  </si>
  <si>
    <t>gemini-2.5-flash-nothinking/output_53/metadata/full_result.json</t>
  </si>
  <si>
    <t>gemini-2.5-flash-nothinking/output_145/metadata/full_result.json</t>
  </si>
  <si>
    <t>gemini-2.5-flash-nothinking/output_147/metadata/full_result.json</t>
  </si>
  <si>
    <t>gemini-3-flash-preview-nothinking/output_1/metadata/full_result.json</t>
  </si>
  <si>
    <t>gemini-3-flash-preview-nothinking/output_2/metadata/full_result.json</t>
  </si>
  <si>
    <t>gemini-3-flash-preview-nothinking/output_3/metadata/full_result.json</t>
  </si>
  <si>
    <t>gemini-3-flash-preview-nothinking/output_4/metadata/full_result.json</t>
  </si>
  <si>
    <t>gemini-3-flash-preview-nothinking/output_5/metadata/full_result.json</t>
  </si>
  <si>
    <t>gemini-3-flash-preview-nothinking/output_6/metadata/full_result.json</t>
  </si>
  <si>
    <t>gemini-3-flash-preview-nothinking/output_8/metadata/full_result.json</t>
  </si>
  <si>
    <t>gemini-3-flash-preview-nothinking/output_9/metadata/full_result.json</t>
  </si>
  <si>
    <t>gemini-3-flash-preview-nothinking/output_10/metadata/full_result.json</t>
  </si>
  <si>
    <t>gemini-3-flash-preview-nothinking/output_12/metadata/full_result.json</t>
  </si>
  <si>
    <t>gemini-3-flash-preview-nothinking/output_20/metadata/full_result.json</t>
  </si>
  <si>
    <t>gemini-3-flash-preview-nothinking/output_22/metadata/full_result.json</t>
  </si>
  <si>
    <t>gemini-3-flash-preview-nothinking/output_24/metadata/full_result.json</t>
  </si>
  <si>
    <t>gemini-3-flash-preview-nothinking/output_26/metadata/full_result.json</t>
  </si>
  <si>
    <t>gemini-3-flash-preview-nothinking/output_29/metadata/full_result.json</t>
  </si>
  <si>
    <t>gemini-3-flash-preview-nothinking/output_44/metadata/full_result.json</t>
  </si>
  <si>
    <t>gemini-3-flash-preview-nothinking/output_52/metadata/full_result.json</t>
  </si>
  <si>
    <t>gemini-3-flash-preview-nothinking/output_53/metadata/full_result.json</t>
  </si>
  <si>
    <t>gemini-3-flash-preview-nothinking/output_145/metadata/full_result.json</t>
  </si>
  <si>
    <t>gemini-3-flash-preview-nothinking/output_147/metadata/full_result.json</t>
  </si>
  <si>
    <t>grok-4-1-fast-non-reasoning-latest/output_1/metadata/full_result.json</t>
  </si>
  <si>
    <t>grok-4-1-fast-non-reasoning-latest/output_2/metadata/full_result.json</t>
  </si>
  <si>
    <t>grok-4-1-fast-non-reasoning-latest/output_3/metadata/full_result.json</t>
  </si>
  <si>
    <t>grok-4-1-fast-non-reasoning-latest/output_4/metadata/full_result.json</t>
  </si>
  <si>
    <t>grok-4-1-fast-non-reasoning-latest/output_5/metadata/full_result.json</t>
  </si>
  <si>
    <t>grok-4-1-fast-non-reasoning-latest/output_6/metadata/full_result.json</t>
  </si>
  <si>
    <t>grok-4-1-fast-non-reasoning-latest/output_8/metadata/full_result.json</t>
  </si>
  <si>
    <t>grok-4-1-fast-non-reasoning-latest/output_9/metadata/full_result.json</t>
  </si>
  <si>
    <t>grok-4-1-fast-non-reasoning-latest/output_10/metadata/full_result.json</t>
  </si>
  <si>
    <t>grok-4-1-fast-non-reasoning-latest/output_12/metadata/full_result.json</t>
  </si>
  <si>
    <t>grok-4-1-fast-non-reasoning-latest/output_20/metadata/full_result.json</t>
  </si>
  <si>
    <t>grok-4-1-fast-non-reasoning-latest/output_22/metadata/full_result.json</t>
  </si>
  <si>
    <t>grok-4-1-fast-non-reasoning-latest/output_24/metadata/full_result.json</t>
  </si>
  <si>
    <t>grok-4-1-fast-non-reasoning-latest/output_26/metadata/full_result.json</t>
  </si>
  <si>
    <t>grok-4-1-fast-non-reasoning-latest/output_29/metadata/full_result.json</t>
  </si>
  <si>
    <t>grok-4-1-fast-non-reasoning-latest/output_44/metadata/full_result.json</t>
  </si>
  <si>
    <t>grok-4-1-fast-non-reasoning-latest/output_52/metadata/full_result.json</t>
  </si>
  <si>
    <t>grok-4-1-fast-non-reasoning-latest/output_53/metadata/full_result.json</t>
  </si>
  <si>
    <t>grok-4-1-fast-non-reasoning-latest/output_145/metadata/full_result.json</t>
  </si>
  <si>
    <t>grok-4-1-fast-non-reasoning-latest/output_147/metadata/full_result.json</t>
  </si>
  <si>
    <t>grok-4.20-beta-0309-non-reasoning/output_1/metadata/full_result.json</t>
  </si>
  <si>
    <t>grok-4.20-beta-0309-non-reasoning/output_2/metadata/full_result.json</t>
  </si>
  <si>
    <t>grok-4.20-beta-0309-non-reasoning/output_3/metadata/full_result.json</t>
  </si>
  <si>
    <t>grok-4.20-beta-0309-non-reasoning/output_4/metadata/full_result.json</t>
  </si>
  <si>
    <t>grok-4.20-beta-0309-non-reasoning/output_5/metadata/full_result.json</t>
  </si>
  <si>
    <t>grok-4.20-beta-0309-non-reasoning/output_6/metadata/full_result.json</t>
  </si>
  <si>
    <t>grok-4.20-beta-0309-non-reasoning/output_8/metadata/full_result.json</t>
  </si>
  <si>
    <t>grok-4.20-beta-0309-non-reasoning/output_9/metadata/full_result.json</t>
  </si>
  <si>
    <t>grok-4.20-beta-0309-non-reasoning/output_10/metadata/full_result.json</t>
  </si>
  <si>
    <t>grok-4.20-beta-0309-non-reasoning/output_12/metadata/full_result.json</t>
  </si>
  <si>
    <t>grok-4.20-beta-0309-non-reasoning/output_20/metadata/full_result.json</t>
  </si>
  <si>
    <t>grok-4.20-beta-0309-non-reasoning/output_22/metadata/full_result.json</t>
  </si>
  <si>
    <t>grok-4.20-beta-0309-non-reasoning/output_24/metadata/full_result.json</t>
  </si>
  <si>
    <t>grok-4.20-beta-0309-non-reasoning/output_26/metadata/full_result.json</t>
  </si>
  <si>
    <t>grok-4.20-beta-0309-non-reasoning/output_29/metadata/full_result.json</t>
  </si>
  <si>
    <t>grok-4.20-beta-0309-non-reasoning/output_44/metadata/full_result.json</t>
  </si>
  <si>
    <t>grok-4.20-beta-0309-non-reasoning/output_52/metadata/full_result.json</t>
  </si>
  <si>
    <t>grok-4.20-beta-0309-non-reasoning/output_53/metadata/full_result.json</t>
  </si>
  <si>
    <t>grok-4.20-beta-0309-non-reasoning/output_145/metadata/full_result.json</t>
  </si>
  <si>
    <t>grok-4.20-beta-0309-non-reasoning/output_147/metadata/full_result.json</t>
  </si>
  <si>
    <t>gemini-2.5-flash/output_1/metadata/full_result.json</t>
  </si>
  <si>
    <t>gemini-2.5-flash/output_2/metadata/full_result.json</t>
  </si>
  <si>
    <t>gemini-2.5-flash/output_3/metadata/full_result.json</t>
  </si>
  <si>
    <t>gemini-2.5-flash/output_4/metadata/full_result.json</t>
  </si>
  <si>
    <t>gemini-2.5-flash/output_5/metadata/full_result.json</t>
  </si>
  <si>
    <t>gemini-2.5-flash/output_6/metadata/full_result.json</t>
  </si>
  <si>
    <t>gemini-2.5-flash/output_8/metadata/full_result.json</t>
  </si>
  <si>
    <t>gemini-2.5-flash/output_9/metadata/full_result.json</t>
  </si>
  <si>
    <t>gemini-2.5-flash/output_10/metadata/full_result.json</t>
  </si>
  <si>
    <t>gemini-2.5-flash/output_12/metadata/full_result.json</t>
  </si>
  <si>
    <t>gemini-2.5-flash/output_20/metadata/full_result.json</t>
  </si>
  <si>
    <t>gemini-2.5-flash/output_22/metadata/full_result.json</t>
  </si>
  <si>
    <t>gemini-2.5-flash/output_24/metadata/full_result.json</t>
  </si>
  <si>
    <t>gemini-2.5-flash/output_26/metadata/full_result.json</t>
  </si>
  <si>
    <t>gemini-2.5-flash/output_29/metadata/full_result.json</t>
  </si>
  <si>
    <t>gemini-2.5-flash/output_44/metadata/full_result.json</t>
  </si>
  <si>
    <t>gemini-2.5-flash/output_52/metadata/full_result.json</t>
  </si>
  <si>
    <t>gemini-2.5-flash/output_53/metadata/full_result.json</t>
  </si>
  <si>
    <t>gemini-2.5-flash/output_145/metadata/full_result.json</t>
  </si>
  <si>
    <t>gemini-2.5-flash/output_147/metadata/full_result.json</t>
  </si>
  <si>
    <t>claude-haiku-4-5-20251001/output_1/metadata/full_result.json</t>
  </si>
  <si>
    <t>claude-haiku-4-5-20251001/output_2/metadata/full_result.json</t>
  </si>
  <si>
    <t>claude-haiku-4-5-20251001/output_3/metadata/full_result.json</t>
  </si>
  <si>
    <t>claude-haiku-4-5-20251001/output_4/metadata/full_result.json</t>
  </si>
  <si>
    <t>claude-haiku-4-5-20251001/output_5/metadata/full_result.json</t>
  </si>
  <si>
    <t>claude-haiku-4-5-20251001/output_6/metadata/full_result.json</t>
  </si>
  <si>
    <t>claude-haiku-4-5-20251001/output_8/metadata/full_result.json</t>
  </si>
  <si>
    <t>claude-haiku-4-5-20251001/output_9/metadata/full_result.json</t>
  </si>
  <si>
    <t>claude-haiku-4-5-20251001/output_10/metadata/full_result.json</t>
  </si>
  <si>
    <t>claude-haiku-4-5-20251001/output_12/metadata/full_result.json</t>
  </si>
  <si>
    <t>claude-haiku-4-5-20251001/output_20/metadata/full_result.json</t>
  </si>
  <si>
    <t>claude-haiku-4-5-20251001/output_22/metadata/full_result.json</t>
  </si>
  <si>
    <t>claude-haiku-4-5-20251001/output_24/metadata/full_result.json</t>
  </si>
  <si>
    <t>claude-haiku-4-5-20251001/output_26/metadata/full_result.json</t>
  </si>
  <si>
    <t>claude-haiku-4-5-20251001/output_29/metadata/full_result.json</t>
  </si>
  <si>
    <t>claude-haiku-4-5-20251001/output_44/metadata/full_result.json</t>
  </si>
  <si>
    <t>claude-haiku-4-5-20251001/output_52/metadata/full_result.json</t>
  </si>
  <si>
    <t>claude-haiku-4-5-20251001/output_53/metadata/full_result.json</t>
  </si>
  <si>
    <t>claude-haiku-4-5-20251001/output_145/metadata/full_result.json</t>
  </si>
  <si>
    <t>claude-haiku-4-5-20251001/output_147/metadata/full_result.json</t>
  </si>
  <si>
    <t>gpt-5.4-mini/output_1/metadata/full_result.json</t>
  </si>
  <si>
    <t>gpt-5.4-mini/output_2/metadata/full_result.json</t>
  </si>
  <si>
    <t>gpt-5.4-mini/output_3/metadata/full_result.json</t>
  </si>
  <si>
    <t>gpt-5.4-mini/output_4/metadata/full_result.json</t>
  </si>
  <si>
    <t>gpt-5.4-mini/output_5/metadata/full_result.json</t>
  </si>
  <si>
    <t>gpt-5.4-mini/output_6/metadata/full_result.json</t>
  </si>
  <si>
    <t>gpt-5.4-mini/output_8/metadata/full_result.json</t>
  </si>
  <si>
    <t>gpt-5.4-mini/output_9/metadata/full_result.json</t>
  </si>
  <si>
    <t>gpt-5.4-mini/output_10/metadata/full_result.json</t>
  </si>
  <si>
    <t>gpt-5.4-mini/output_12/metadata/full_result.json</t>
  </si>
  <si>
    <t>gpt-5.4-mini/output_20/metadata/full_result.json</t>
  </si>
  <si>
    <t>gpt-5.4-mini/output_22/metadata/full_result.json</t>
  </si>
  <si>
    <t>gpt-5.4-mini/output_24/metadata/full_result.json</t>
  </si>
  <si>
    <t>gpt-5.4-mini/output_26/metadata/full_result.json</t>
  </si>
  <si>
    <t>gpt-5.4-mini/output_29/metadata/full_result.json</t>
  </si>
  <si>
    <t>gpt-5.4-mini/output_44/metadata/full_result.json</t>
  </si>
  <si>
    <t>gpt-5.4-mini/output_52/metadata/full_result.json</t>
  </si>
  <si>
    <t>gpt-5.4-mini/output_53/metadata/full_result.json</t>
  </si>
  <si>
    <t>gpt-5.4-mini/output_145/metadata/full_result.json</t>
  </si>
  <si>
    <t>gpt-5.4-mini/output_147/metadata/full_result.json</t>
  </si>
  <si>
    <t>gpt-5.4-nano-2026-03-17/output_1/metadata/full_result.json</t>
  </si>
  <si>
    <t>gpt-5.4-nano-2026-03-17/output_2/metadata/full_result.json</t>
  </si>
  <si>
    <t>gpt-5.4-nano-2026-03-17/output_3/metadata/full_result.json</t>
  </si>
  <si>
    <t>gpt-5.4-nano-2026-03-17/output_4/metadata/full_result.json</t>
  </si>
  <si>
    <t>gpt-5.4-nano-2026-03-17/output_5/metadata/full_result.json</t>
  </si>
  <si>
    <t>gpt-5.4-nano-2026-03-17/output_6/metadata/full_result.json</t>
  </si>
  <si>
    <t>gpt-5.4-nano-2026-03-17/output_8/metadata/full_result.json</t>
  </si>
  <si>
    <t>gpt-5.4-nano-2026-03-17/output_9/metadata/full_result.json</t>
  </si>
  <si>
    <t>gpt-5.4-nano-2026-03-17/output_10/metadata/full_result.json</t>
  </si>
  <si>
    <t>gpt-5.4-nano-2026-03-17/output_12/metadata/full_result.json</t>
  </si>
  <si>
    <t>gpt-5.4-nano-2026-03-17/output_20/metadata/full_result.json</t>
  </si>
  <si>
    <t>gpt-5.4-nano-2026-03-17/output_22/metadata/full_result.json</t>
  </si>
  <si>
    <t>gpt-5.4-nano-2026-03-17/output_24/metadata/full_result.json</t>
  </si>
  <si>
    <t>gpt-5.4-nano-2026-03-17/output_26/metadata/full_result.json</t>
  </si>
  <si>
    <t>gpt-5.4-nano-2026-03-17/output_29/metadata/full_result.json</t>
  </si>
  <si>
    <t>gpt-5.4-nano-2026-03-17/output_44/metadata/full_result.json</t>
  </si>
  <si>
    <t>gpt-5.4-nano-2026-03-17/output_52/metadata/full_result.json</t>
  </si>
  <si>
    <t>gpt-5.4-nano-2026-03-17/output_53/metadata/full_result.json</t>
  </si>
  <si>
    <t>gpt-5.4-nano-2026-03-17/output_145/metadata/full_result.json</t>
  </si>
  <si>
    <t>gpt-5.4-nano-2026-03-17/output_147/metadata/full_result.json</t>
  </si>
  <si>
    <t>sheet</t>
  </si>
  <si>
    <t>variable</t>
  </si>
  <si>
    <t>type</t>
  </si>
  <si>
    <t>units_or_range</t>
  </si>
  <si>
    <t>definition</t>
  </si>
  <si>
    <t>derivation_or_source</t>
  </si>
  <si>
    <t>All sheets</t>
  </si>
  <si>
    <t>*_pct</t>
  </si>
  <si>
    <t>number</t>
  </si>
  <si>
    <t>0–100 percentage points</t>
  </si>
  <si>
    <t>Scores are stored as percentage points, not Excel fractions.</t>
  </si>
  <si>
    <t>Source or stated formula</t>
  </si>
  <si>
    <t>text</t>
  </si>
  <si>
    <t>identifier</t>
  </si>
  <si>
    <t>Stable method identifier in the evaluation pipeline.</t>
  </si>
  <si>
    <t>Source</t>
  </si>
  <si>
    <t>label</t>
  </si>
  <si>
    <t>Label displayed in the figure; main_full_output is shown as CKL-Align.</t>
  </si>
  <si>
    <t>Mapped from method_key</t>
  </si>
  <si>
    <t>integer</t>
  </si>
  <si>
    <t>benchmark output</t>
  </si>
  <si>
    <t>Identifier for one article output in the panel-a alignment benchmark set.</t>
  </si>
  <si>
    <t>0–100</t>
  </si>
  <si>
    <t>Anchor-scoped pair precision used by the alignment-quality figure.</t>
  </si>
  <si>
    <t>Source pair_precision_pct</t>
  </si>
  <si>
    <t>Pair recall against eligible curated ground-truth links.</t>
  </si>
  <si>
    <t>Source pair_recall_pct</t>
  </si>
  <si>
    <t>Pair-level F1 reported by the evaluator.</t>
  </si>
  <si>
    <t>Source pair_f1_pct</t>
  </si>
  <si>
    <t>formula</t>
  </si>
  <si>
    <t>Independent F1 recomputation from displayed precision and recall.</t>
  </si>
  <si>
    <t>2×P×R/(P+R)</t>
  </si>
  <si>
    <t>percentage points</t>
  </si>
  <si>
    <t>Recomputed F1 minus source F1; small differences only reflect source rounding.</t>
  </si>
  <si>
    <t>f1_recalc_pct − f1_source_pct</t>
  </si>
  <si>
    <t>count</t>
  </si>
  <si>
    <t>All ground-truth entities in the evaluated output.</t>
  </si>
  <si>
    <t>Ground-truth entities eligible for pair-level alignment evaluation.</t>
  </si>
  <si>
    <t>All predicted image–text pairs before anchor-scoped accounting.</t>
  </si>
  <si>
    <t>Predicted pairs inside the alignment-quality anchor scope.</t>
  </si>
  <si>
    <t>Predicted pairs matching curated ground truth.</t>
  </si>
  <si>
    <t>false_pairs_*</t>
  </si>
  <si>
    <t>False pair totals and their wrong-text/non-eligible components.</t>
  </si>
  <si>
    <t>Eligible curated pairs not recovered by the method.</t>
  </si>
  <si>
    <t>mean_*</t>
  </si>
  <si>
    <t>same as source metric</t>
  </si>
  <si>
    <t>Arithmetic mean across the 20 output-level observations for one method.</t>
  </si>
  <si>
    <t>AVERAGE of grouped raw rows</t>
  </si>
  <si>
    <t>sd_*</t>
  </si>
  <si>
    <t>Sample standard deviation across the 20 output-level observations.</t>
  </si>
  <si>
    <t>STDEV.S of grouped raw rows</t>
  </si>
  <si>
    <t>Provider/model configuration identifier used in the run.</t>
  </si>
  <si>
    <t>Short label displayed in the figure.</t>
  </si>
  <si>
    <t>Per-output relaxed image-entity precision.</t>
  </si>
  <si>
    <t>Per-output relaxed image-entity recall.</t>
  </si>
  <si>
    <t>Per-output relaxed image-entity F1.</t>
  </si>
  <si>
    <t>Per-output core-text extraction precision.</t>
  </si>
  <si>
    <t>Per-output core-text extraction recall.</t>
  </si>
  <si>
    <t>Per-output core-text extraction F1.</t>
  </si>
  <si>
    <t>Per-output section-aware KG structural quality score.</t>
  </si>
  <si>
    <t>0–1</t>
  </si>
  <si>
    <t>Content/schema conformity component of KG quality.</t>
  </si>
  <si>
    <t>Section-connectivity component of KG quality.</t>
  </si>
  <si>
    <t>Duplicate-edge cleanliness component of KG quality.</t>
  </si>
  <si>
    <t>seconds/article</t>
  </si>
  <si>
    <t>End-to-end parallel runtime plotted in panel c.</t>
  </si>
  <si>
    <t>USD/article</t>
  </si>
  <si>
    <t>Estimated per-output cost used to compute panel-d bars.</t>
  </si>
  <si>
    <t>tokens</t>
  </si>
  <si>
    <t>Input tokens recorded for the output.</t>
  </si>
  <si>
    <t>Source metadata</t>
  </si>
  <si>
    <t>Generated tokens recorded for the output.</t>
  </si>
  <si>
    <t>Total tokens for the output.</t>
  </si>
  <si>
    <t>seconds</t>
  </si>
  <si>
    <t>Observed parallel end-to-end runtime; equals time_sec in this dataset.</t>
  </si>
  <si>
    <t>Sum of stage runtimes, useful for deployment accounting.</t>
  </si>
  <si>
    <t>*_extraction_time_sec</t>
  </si>
  <si>
    <t>Text/image/alignment stage runtime components.</t>
  </si>
  <si>
    <t>Per-output composite used for the panel-e distribution.</t>
  </si>
  <si>
    <t>Independent per-output composite.</t>
  </si>
  <si>
    <t>AVERAGE(image_f1_pct,text_f1_pct,kg_score_pct)</t>
  </si>
  <si>
    <t>image_* / text_* / kg_score</t>
  </si>
  <si>
    <t>Model-level report aggregates used by panel b. Text aggregates are not assumed to equal simple per-output means.</t>
  </si>
  <si>
    <t>Source summary report</t>
  </si>
  <si>
    <t>Composite used in the panel-b Overall column.</t>
  </si>
  <si>
    <t>AVERAGE(Image-F1,Text-F1,KG)</t>
  </si>
  <si>
    <t>Arithmetic mean of the 20 time_sec observations; bar/distribution summary support.</t>
  </si>
  <si>
    <t>Arithmetic mean of the 20 cost_usd observations plotted in panel d.</t>
  </si>
  <si>
    <t>Mean of the 20 per-output composites shown as distribution summaries in panel e.</t>
  </si>
  <si>
    <t>AVERAGE of overall_recalc_pct</t>
  </si>
  <si>
    <t>Image-P … Overall</t>
  </si>
  <si>
    <t>Normalized copy of model-level aggregate metrics in the exact figure order.</t>
  </si>
  <si>
    <t>Model Summary metric / 100</t>
  </si>
  <si>
    <t>dataset_id</t>
  </si>
  <si>
    <t>relative_path</t>
  </si>
  <si>
    <t>role</t>
  </si>
  <si>
    <t>row_count</t>
  </si>
  <si>
    <t>sha256</t>
  </si>
  <si>
    <t>workbook_prepared_date</t>
  </si>
  <si>
    <t>alignment_raw</t>
  </si>
  <si>
    <t>reports/pair_alignment_alignment_quality_main_f1_90plus_retryfilled_20260504/pair_alignment_cross_output_long_table.csv</t>
  </si>
  <si>
    <t>Primary per-output data for panel a</t>
  </si>
  <si>
    <t>bd547a9317c0fc95302de35572c3900de76649e81cc18a1f04d0948ef6672350</t>
  </si>
  <si>
    <t>2026-09-02</t>
  </si>
  <si>
    <t>alignment_summary</t>
  </si>
  <si>
    <t>reports/pair_alignment_alignment_quality_main_f1_90plus_retryfilled_20260504/pair_alignment_cross_output_method_summary.csv</t>
  </si>
  <si>
    <t>Reference summary used to reconcile panel-a means and SDs</t>
  </si>
  <si>
    <t>77b733f3b6f7aab182225e2cb203e70c6af841d034a2e4b125af092a374bb61c</t>
  </si>
  <si>
    <t>model_raw</t>
  </si>
  <si>
    <t>reports/multimodal_quality_journal_figures_current9_20260429/multimodal_quality_per_output_for_plot.csv</t>
  </si>
  <si>
    <t>Primary per-output quality/time/cost data for panels c–e</t>
  </si>
  <si>
    <t>68d8b8201c7a52a9d9e43e28cc6b4491acdb04ffb840337a5322663e35c45ea6</t>
  </si>
  <si>
    <t>model_summary</t>
  </si>
  <si>
    <t>reports/multimodal_quality_journal_figures_current9_20260429/multimodal_quality_summary_for_plot.csv</t>
  </si>
  <si>
    <t>Aggregate metrics used by panel b and panel order</t>
  </si>
  <si>
    <t>2b2f73c1547bfb11db47bc7458340b649cb0a12a84252a29b33f06e11768ae24</t>
  </si>
  <si>
    <t>usage_raw</t>
  </si>
  <si>
    <t>reports/multimodal_quality_journal_figures_current9_20260429/multimodal_usage_time_cost_per_output.csv</t>
  </si>
  <si>
    <t>Prompt/completion token and metadata-path provenance</t>
  </si>
  <si>
    <t>bf177112f01b44a64898818ef10b14c89d8ef084eb4945758b3982152986574c</t>
  </si>
  <si>
    <t>heatmap_reference</t>
  </si>
  <si>
    <t>reports/multimodal_quality_journal_figures_current9_20260429/multimodal_quality_metric_heatmap_matrix.csv</t>
  </si>
  <si>
    <t>Reference normalized matrix used to reconcile panel b</t>
  </si>
  <si>
    <t>c5b15e3e475b9860d659b53eb056940cc59bd03aeb6f03f6aeed2d1f9e9cb4de</t>
  </si>
  <si>
    <t>figure_a</t>
  </si>
  <si>
    <t>_paper_work/final_figures/fig2_alignment_benchmark_a.tiff</t>
  </si>
  <si>
    <t>Rendered alignment benchmark panel used in the manuscript</t>
  </si>
  <si>
    <t>7705b5e6262af1842679be639c7453e4a3f2b49bf904b778c1530fca2bb1be00</t>
  </si>
  <si>
    <t>figure_b</t>
  </si>
  <si>
    <t>reports/multimodal_quality_journal_figures_current9_20260429/fig_multimodal_quality_metric_heatmap.png</t>
  </si>
  <si>
    <t>Rendered heatmap reference</t>
  </si>
  <si>
    <t>09b339da6ced4cbde0cf80dbaeeeb355de72c1838d059ab30ef557193b8ffd98</t>
  </si>
  <si>
    <t>figure_cde</t>
  </si>
  <si>
    <t>reports/multimodal_quality_journal_figures_current9_20260429/fig_multimodal_quality_journal_triptych.png</t>
  </si>
  <si>
    <t>Rendered time/cost/overall reference</t>
  </si>
  <si>
    <t>fc2e7ddc242a75a59362f133d839b201ae7cbebbba1537cc4df5056dbe303d3d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</si>
</sst>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0"/>
    <numFmt numFmtId="178" formatCode="\$0.000000"/>
  </numFmts>
  <fonts count="33">
    <font>
      <sz val="11"/>
      <name val="Carlito"/>
      <charset val="134"/>
    </font>
    <font>
      <b/>
      <sz val="9"/>
      <color rgb="FFFFFFFF"/>
      <name val="Aptos"/>
      <charset val="134"/>
    </font>
    <font>
      <sz val="9"/>
      <color rgb="FF1F2937"/>
      <name val="Aptos"/>
      <charset val="134"/>
    </font>
    <font>
      <sz val="9"/>
      <color rgb="FF008000"/>
      <name val="Aptos"/>
      <charset val="134"/>
    </font>
    <font>
      <sz val="9"/>
      <color rgb="FF1F4E79"/>
      <name val="Aptos"/>
      <charset val="134"/>
    </font>
    <font>
      <b/>
      <sz val="10"/>
      <color rgb="FF1F2937"/>
      <name val="Aptos"/>
      <charset val="134"/>
    </font>
    <font>
      <b/>
      <sz val="10"/>
      <color rgb="FFFFFFFF"/>
      <name val="Aptos"/>
      <charset val="134"/>
    </font>
    <font>
      <b/>
      <sz val="9"/>
      <color rgb="FF8F1630"/>
      <name val="Aptos"/>
      <charset val="134"/>
    </font>
    <font>
      <b/>
      <sz val="20"/>
      <color rgb="FFFFFFFF"/>
      <name val="Aptos Display"/>
      <charset val="134"/>
    </font>
    <font>
      <sz val="10"/>
      <color rgb="FF334155"/>
      <name val="Aptos"/>
      <charset val="134"/>
    </font>
    <font>
      <b/>
      <sz val="11"/>
      <color rgb="FFFFFFFF"/>
      <name val="Carlito"/>
      <charset val="134"/>
    </font>
    <font>
      <sz val="10"/>
      <color rgb="FF1F2937"/>
      <name val="Aptos"/>
      <charset val="134"/>
    </font>
    <font>
      <b/>
      <sz val="11"/>
      <color rgb="FFFFFFFF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103">
    <fill>
      <patternFill patternType="none"/>
    </fill>
    <fill>
      <patternFill patternType="gray125"/>
    </fill>
    <fill>
      <patternFill patternType="solid">
        <fgColor rgb="FF15324B"/>
        <bgColor indexed="64"/>
      </patternFill>
    </fill>
    <fill>
      <patternFill patternType="solid">
        <fgColor rgb="FF3161A3"/>
        <bgColor indexed="64"/>
      </patternFill>
    </fill>
    <fill>
      <patternFill patternType="solid">
        <fgColor rgb="FFBBCEE7"/>
        <bgColor indexed="64"/>
      </patternFill>
    </fill>
    <fill>
      <patternFill patternType="solid">
        <fgColor rgb="FF7E9EC9"/>
        <bgColor indexed="64"/>
      </patternFill>
    </fill>
    <fill>
      <patternFill patternType="solid">
        <fgColor rgb="FFD1E0F2"/>
        <bgColor indexed="64"/>
      </patternFill>
    </fill>
    <fill>
      <patternFill patternType="solid">
        <fgColor rgb="FF6A8EBF"/>
        <bgColor indexed="64"/>
      </patternFill>
    </fill>
    <fill>
      <patternFill patternType="solid">
        <fgColor rgb="FFA0B8DA"/>
        <bgColor indexed="64"/>
      </patternFill>
    </fill>
    <fill>
      <patternFill patternType="solid">
        <fgColor rgb="FF89A7CF"/>
        <bgColor indexed="64"/>
      </patternFill>
    </fill>
    <fill>
      <patternFill patternType="solid">
        <fgColor rgb="FF3B69A8"/>
        <bgColor indexed="64"/>
      </patternFill>
    </fill>
    <fill>
      <patternFill patternType="solid">
        <fgColor rgb="FFECCAD0"/>
        <bgColor indexed="64"/>
      </patternFill>
    </fill>
    <fill>
      <patternFill patternType="solid">
        <fgColor rgb="FFA4BBDB"/>
        <bgColor indexed="64"/>
      </patternFill>
    </fill>
    <fill>
      <patternFill patternType="solid">
        <fgColor rgb="FFDFA2AC"/>
        <bgColor indexed="64"/>
      </patternFill>
    </fill>
    <fill>
      <patternFill patternType="solid">
        <fgColor rgb="FFEBC5CC"/>
        <bgColor indexed="64"/>
      </patternFill>
    </fill>
    <fill>
      <patternFill patternType="solid">
        <fgColor rgb="FFE5B3BC"/>
        <bgColor indexed="64"/>
      </patternFill>
    </fill>
    <fill>
      <patternFill patternType="solid">
        <fgColor rgb="FF83A1CB"/>
        <bgColor indexed="64"/>
      </patternFill>
    </fill>
    <fill>
      <patternFill patternType="solid">
        <fgColor rgb="FFBDCFE8"/>
        <bgColor indexed="64"/>
      </patternFill>
    </fill>
    <fill>
      <patternFill patternType="solid">
        <fgColor rgb="FF1F539B"/>
        <bgColor indexed="64"/>
      </patternFill>
    </fill>
    <fill>
      <patternFill patternType="solid">
        <fgColor rgb="FFF4E2E4"/>
        <bgColor indexed="64"/>
      </patternFill>
    </fill>
    <fill>
      <patternFill patternType="solid">
        <fgColor rgb="FF8BA8CF"/>
        <bgColor indexed="64"/>
      </patternFill>
    </fill>
    <fill>
      <patternFill patternType="solid">
        <fgColor rgb="FFBFD1E9"/>
        <bgColor indexed="64"/>
      </patternFill>
    </fill>
    <fill>
      <patternFill patternType="solid">
        <fgColor rgb="FFEED0D5"/>
        <bgColor indexed="64"/>
      </patternFill>
    </fill>
    <fill>
      <patternFill patternType="solid">
        <fgColor rgb="FFDAE7F6"/>
        <bgColor indexed="64"/>
      </patternFill>
    </fill>
    <fill>
      <patternFill patternType="solid">
        <fgColor rgb="FFF3E0E3"/>
        <bgColor indexed="64"/>
      </patternFill>
    </fill>
    <fill>
      <patternFill patternType="solid">
        <fgColor rgb="FFC3D5EB"/>
        <bgColor indexed="64"/>
      </patternFill>
    </fill>
    <fill>
      <patternFill patternType="solid">
        <fgColor rgb="FF21549B"/>
        <bgColor indexed="64"/>
      </patternFill>
    </fill>
    <fill>
      <patternFill patternType="solid">
        <fgColor rgb="FFC34A60"/>
        <bgColor indexed="64"/>
      </patternFill>
    </fill>
    <fill>
      <patternFill patternType="solid">
        <fgColor rgb="FFF2DCDF"/>
        <bgColor indexed="64"/>
      </patternFill>
    </fill>
    <fill>
      <patternFill patternType="solid">
        <fgColor rgb="FFBACDE6"/>
        <bgColor indexed="64"/>
      </patternFill>
    </fill>
    <fill>
      <patternFill patternType="solid">
        <fgColor rgb="FFB82741"/>
        <bgColor indexed="64"/>
      </patternFill>
    </fill>
    <fill>
      <patternFill patternType="solid">
        <fgColor rgb="FFD88D9A"/>
        <bgColor indexed="64"/>
      </patternFill>
    </fill>
    <fill>
      <patternFill patternType="solid">
        <fgColor rgb="FF7A9BC7"/>
        <bgColor indexed="64"/>
      </patternFill>
    </fill>
    <fill>
      <patternFill patternType="solid">
        <fgColor rgb="FFF6E7EA"/>
        <bgColor indexed="64"/>
      </patternFill>
    </fill>
    <fill>
      <patternFill patternType="solid">
        <fgColor rgb="FF3464A5"/>
        <bgColor indexed="64"/>
      </patternFill>
    </fill>
    <fill>
      <patternFill patternType="solid">
        <fgColor rgb="FFCE6E7F"/>
        <bgColor indexed="64"/>
      </patternFill>
    </fill>
    <fill>
      <patternFill patternType="solid">
        <fgColor rgb="FFDCE8F7"/>
        <bgColor indexed="64"/>
      </patternFill>
    </fill>
    <fill>
      <patternFill patternType="solid">
        <fgColor rgb="FF9EB7D8"/>
        <bgColor indexed="64"/>
      </patternFill>
    </fill>
    <fill>
      <patternFill patternType="solid">
        <fgColor rgb="FFB51F3A"/>
        <bgColor indexed="64"/>
      </patternFill>
    </fill>
    <fill>
      <patternFill patternType="solid">
        <fgColor rgb="FFC34C61"/>
        <bgColor indexed="64"/>
      </patternFill>
    </fill>
    <fill>
      <patternFill patternType="solid">
        <fgColor rgb="FF7697C5"/>
        <bgColor indexed="64"/>
      </patternFill>
    </fill>
    <fill>
      <patternFill patternType="solid">
        <fgColor rgb="FFF0D8DC"/>
        <bgColor indexed="64"/>
      </patternFill>
    </fill>
    <fill>
      <patternFill patternType="solid">
        <fgColor rgb="FF7294C3"/>
        <bgColor indexed="64"/>
      </patternFill>
    </fill>
    <fill>
      <patternFill patternType="solid">
        <fgColor rgb="FFDA919E"/>
        <bgColor indexed="64"/>
      </patternFill>
    </fill>
    <fill>
      <patternFill patternType="solid">
        <fgColor rgb="FFF3E0E4"/>
        <bgColor indexed="64"/>
      </patternFill>
    </fill>
    <fill>
      <patternFill patternType="solid">
        <fgColor rgb="FFCDDDF0"/>
        <bgColor indexed="64"/>
      </patternFill>
    </fill>
    <fill>
      <patternFill patternType="solid">
        <fgColor rgb="FFCC6678"/>
        <bgColor indexed="64"/>
      </patternFill>
    </fill>
    <fill>
      <patternFill patternType="solid">
        <fgColor rgb="FFDBE7F6"/>
        <bgColor indexed="64"/>
      </patternFill>
    </fill>
    <fill>
      <patternFill patternType="solid">
        <fgColor rgb="FFE7BBC3"/>
        <bgColor indexed="64"/>
      </patternFill>
    </fill>
    <fill>
      <patternFill patternType="solid">
        <fgColor rgb="FF28599F"/>
        <bgColor indexed="64"/>
      </patternFill>
    </fill>
    <fill>
      <patternFill patternType="solid">
        <fgColor rgb="FFC7586C"/>
        <bgColor indexed="64"/>
      </patternFill>
    </fill>
    <fill>
      <patternFill patternType="solid">
        <fgColor rgb="FFF3DFE3"/>
        <bgColor indexed="64"/>
      </patternFill>
    </fill>
    <fill>
      <patternFill patternType="solid">
        <fgColor rgb="FFD58190"/>
        <bgColor indexed="64"/>
      </patternFill>
    </fill>
    <fill>
      <patternFill patternType="solid">
        <fgColor rgb="FFF0D5DA"/>
        <bgColor indexed="64"/>
      </patternFill>
    </fill>
    <fill>
      <patternFill patternType="solid">
        <fgColor rgb="FFE2AAB4"/>
        <bgColor indexed="64"/>
      </patternFill>
    </fill>
    <fill>
      <patternFill patternType="solid">
        <fgColor rgb="FFE1A7B1"/>
        <bgColor indexed="64"/>
      </patternFill>
    </fill>
    <fill>
      <patternFill patternType="solid">
        <fgColor rgb="FFE7BBC2"/>
        <bgColor indexed="64"/>
      </patternFill>
    </fill>
    <fill>
      <patternFill patternType="solid">
        <fgColor rgb="FF295A9F"/>
        <bgColor indexed="64"/>
      </patternFill>
    </fill>
    <fill>
      <patternFill patternType="solid">
        <fgColor rgb="FFD27A89"/>
        <bgColor indexed="64"/>
      </patternFill>
    </fill>
    <fill>
      <patternFill patternType="solid">
        <fgColor rgb="FFCDDCF0"/>
        <bgColor indexed="64"/>
      </patternFill>
    </fill>
    <fill>
      <patternFill patternType="solid">
        <fgColor rgb="FFE3AEB8"/>
        <bgColor indexed="64"/>
      </patternFill>
    </fill>
    <fill>
      <patternFill patternType="solid">
        <fgColor rgb="FFBA2F48"/>
        <bgColor indexed="64"/>
      </patternFill>
    </fill>
    <fill>
      <patternFill patternType="solid">
        <fgColor rgb="FFCA6274"/>
        <bgColor indexed="64"/>
      </patternFill>
    </fill>
    <fill>
      <patternFill patternType="solid">
        <fgColor rgb="FFD58392"/>
        <bgColor indexed="64"/>
      </patternFill>
    </fill>
    <fill>
      <patternFill patternType="solid">
        <fgColor rgb="FF1A4F98"/>
        <bgColor indexed="64"/>
      </patternFill>
    </fill>
    <fill>
      <patternFill patternType="solid">
        <fgColor rgb="FFD88C9A"/>
        <bgColor indexed="64"/>
      </patternFill>
    </fill>
    <fill>
      <patternFill patternType="solid">
        <fgColor rgb="FFF1D9DD"/>
        <bgColor indexed="64"/>
      </patternFill>
    </fill>
    <fill>
      <patternFill patternType="solid">
        <fgColor rgb="FFCE6C7D"/>
        <bgColor indexed="64"/>
      </patternFill>
    </fill>
    <fill>
      <patternFill patternType="solid">
        <fgColor rgb="FFFCE8EC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D6E0E8"/>
      </right>
      <top/>
      <bottom/>
      <diagonal/>
    </border>
    <border>
      <left style="thin">
        <color rgb="FFD6E0E8"/>
      </left>
      <right style="thin">
        <color rgb="FFD6E0E8"/>
      </right>
      <top/>
      <bottom/>
      <diagonal/>
    </border>
    <border>
      <left style="thin">
        <color rgb="FFD6E0E8"/>
      </left>
      <right/>
      <top/>
      <bottom/>
      <diagonal/>
    </border>
    <border>
      <left/>
      <right style="thin">
        <color rgb="FFD6E0E8"/>
      </right>
      <top/>
      <bottom style="thin">
        <color rgb="FFD6E0E8"/>
      </bottom>
      <diagonal/>
    </border>
    <border>
      <left style="thin">
        <color rgb="FFD6E0E8"/>
      </left>
      <right style="thin">
        <color rgb="FFD6E0E8"/>
      </right>
      <top/>
      <bottom style="thin">
        <color rgb="FFD6E0E8"/>
      </bottom>
      <diagonal/>
    </border>
    <border>
      <left style="thin">
        <color rgb="FFD6E0E8"/>
      </left>
      <right/>
      <top/>
      <bottom style="thin">
        <color rgb="FFD6E0E8"/>
      </bottom>
      <diagonal/>
    </border>
    <border>
      <left/>
      <right style="thin">
        <color rgb="FFD6E0E8"/>
      </right>
      <top style="thin">
        <color rgb="FFD6E0E8"/>
      </top>
      <bottom style="thin">
        <color rgb="FFD6E0E8"/>
      </bottom>
      <diagonal/>
    </border>
    <border>
      <left style="thin">
        <color rgb="FFD6E0E8"/>
      </left>
      <right style="thin">
        <color rgb="FFD6E0E8"/>
      </right>
      <top style="thin">
        <color rgb="FFD6E0E8"/>
      </top>
      <bottom style="thin">
        <color rgb="FFD6E0E8"/>
      </bottom>
      <diagonal/>
    </border>
    <border>
      <left style="thin">
        <color rgb="FFD6E0E8"/>
      </left>
      <right/>
      <top style="thin">
        <color rgb="FFD6E0E8"/>
      </top>
      <bottom style="thin">
        <color rgb="FFD6E0E8"/>
      </bottom>
      <diagonal/>
    </border>
    <border>
      <left/>
      <right style="thin">
        <color rgb="FFD6E0E8"/>
      </right>
      <top style="thin">
        <color rgb="FFD6E0E8"/>
      </top>
      <bottom/>
      <diagonal/>
    </border>
    <border>
      <left style="thin">
        <color rgb="FFD6E0E8"/>
      </left>
      <right style="thin">
        <color rgb="FFD6E0E8"/>
      </right>
      <top style="thin">
        <color rgb="FFD6E0E8"/>
      </top>
      <bottom/>
      <diagonal/>
    </border>
    <border>
      <left style="thin">
        <color rgb="FFD6E0E8"/>
      </left>
      <right/>
      <top style="thin">
        <color rgb="FFD6E0E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2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3" borderId="16" applyNumberFormat="0" applyAlignment="0" applyProtection="0">
      <alignment vertical="center"/>
    </xf>
    <xf numFmtId="0" fontId="23" fillId="74" borderId="17" applyNumberFormat="0" applyAlignment="0" applyProtection="0">
      <alignment vertical="center"/>
    </xf>
    <xf numFmtId="0" fontId="24" fillId="74" borderId="16" applyNumberFormat="0" applyAlignment="0" applyProtection="0">
      <alignment vertical="center"/>
    </xf>
    <xf numFmtId="0" fontId="25" fillId="75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76" borderId="0" applyNumberFormat="0" applyBorder="0" applyAlignment="0" applyProtection="0">
      <alignment vertical="center"/>
    </xf>
    <xf numFmtId="0" fontId="29" fillId="77" borderId="0" applyNumberFormat="0" applyBorder="0" applyAlignment="0" applyProtection="0">
      <alignment vertical="center"/>
    </xf>
    <xf numFmtId="0" fontId="30" fillId="78" borderId="0" applyNumberFormat="0" applyBorder="0" applyAlignment="0" applyProtection="0">
      <alignment vertical="center"/>
    </xf>
    <xf numFmtId="0" fontId="31" fillId="79" borderId="0" applyNumberFormat="0" applyBorder="0" applyAlignment="0" applyProtection="0">
      <alignment vertical="center"/>
    </xf>
    <xf numFmtId="0" fontId="32" fillId="80" borderId="0" applyNumberFormat="0" applyBorder="0" applyAlignment="0" applyProtection="0">
      <alignment vertical="center"/>
    </xf>
    <xf numFmtId="0" fontId="32" fillId="81" borderId="0" applyNumberFormat="0" applyBorder="0" applyAlignment="0" applyProtection="0">
      <alignment vertical="center"/>
    </xf>
    <xf numFmtId="0" fontId="31" fillId="82" borderId="0" applyNumberFormat="0" applyBorder="0" applyAlignment="0" applyProtection="0">
      <alignment vertical="center"/>
    </xf>
    <xf numFmtId="0" fontId="31" fillId="83" borderId="0" applyNumberFormat="0" applyBorder="0" applyAlignment="0" applyProtection="0">
      <alignment vertical="center"/>
    </xf>
    <xf numFmtId="0" fontId="32" fillId="84" borderId="0" applyNumberFormat="0" applyBorder="0" applyAlignment="0" applyProtection="0">
      <alignment vertical="center"/>
    </xf>
    <xf numFmtId="0" fontId="32" fillId="85" borderId="0" applyNumberFormat="0" applyBorder="0" applyAlignment="0" applyProtection="0">
      <alignment vertical="center"/>
    </xf>
    <xf numFmtId="0" fontId="31" fillId="86" borderId="0" applyNumberFormat="0" applyBorder="0" applyAlignment="0" applyProtection="0">
      <alignment vertical="center"/>
    </xf>
    <xf numFmtId="0" fontId="31" fillId="87" borderId="0" applyNumberFormat="0" applyBorder="0" applyAlignment="0" applyProtection="0">
      <alignment vertical="center"/>
    </xf>
    <xf numFmtId="0" fontId="32" fillId="88" borderId="0" applyNumberFormat="0" applyBorder="0" applyAlignment="0" applyProtection="0">
      <alignment vertical="center"/>
    </xf>
    <xf numFmtId="0" fontId="32" fillId="89" borderId="0" applyNumberFormat="0" applyBorder="0" applyAlignment="0" applyProtection="0">
      <alignment vertical="center"/>
    </xf>
    <xf numFmtId="0" fontId="31" fillId="90" borderId="0" applyNumberFormat="0" applyBorder="0" applyAlignment="0" applyProtection="0">
      <alignment vertical="center"/>
    </xf>
    <xf numFmtId="0" fontId="31" fillId="91" borderId="0" applyNumberFormat="0" applyBorder="0" applyAlignment="0" applyProtection="0">
      <alignment vertical="center"/>
    </xf>
    <xf numFmtId="0" fontId="32" fillId="92" borderId="0" applyNumberFormat="0" applyBorder="0" applyAlignment="0" applyProtection="0">
      <alignment vertical="center"/>
    </xf>
    <xf numFmtId="0" fontId="32" fillId="93" borderId="0" applyNumberFormat="0" applyBorder="0" applyAlignment="0" applyProtection="0">
      <alignment vertical="center"/>
    </xf>
    <xf numFmtId="0" fontId="31" fillId="94" borderId="0" applyNumberFormat="0" applyBorder="0" applyAlignment="0" applyProtection="0">
      <alignment vertical="center"/>
    </xf>
    <xf numFmtId="0" fontId="31" fillId="95" borderId="0" applyNumberFormat="0" applyBorder="0" applyAlignment="0" applyProtection="0">
      <alignment vertical="center"/>
    </xf>
    <xf numFmtId="0" fontId="32" fillId="96" borderId="0" applyNumberFormat="0" applyBorder="0" applyAlignment="0" applyProtection="0">
      <alignment vertical="center"/>
    </xf>
    <xf numFmtId="0" fontId="32" fillId="97" borderId="0" applyNumberFormat="0" applyBorder="0" applyAlignment="0" applyProtection="0">
      <alignment vertical="center"/>
    </xf>
    <xf numFmtId="0" fontId="31" fillId="98" borderId="0" applyNumberFormat="0" applyBorder="0" applyAlignment="0" applyProtection="0">
      <alignment vertical="center"/>
    </xf>
    <xf numFmtId="0" fontId="31" fillId="99" borderId="0" applyNumberFormat="0" applyBorder="0" applyAlignment="0" applyProtection="0">
      <alignment vertical="center"/>
    </xf>
    <xf numFmtId="0" fontId="32" fillId="100" borderId="0" applyNumberFormat="0" applyBorder="0" applyAlignment="0" applyProtection="0">
      <alignment vertical="center"/>
    </xf>
    <xf numFmtId="0" fontId="32" fillId="101" borderId="0" applyNumberFormat="0" applyBorder="0" applyAlignment="0" applyProtection="0">
      <alignment vertical="center"/>
    </xf>
    <xf numFmtId="0" fontId="31" fillId="102" borderId="0" applyNumberFormat="0" applyBorder="0" applyAlignment="0" applyProtection="0">
      <alignment vertical="center"/>
    </xf>
    <xf numFmtId="0" fontId="0" fillId="0" borderId="0"/>
  </cellStyleXfs>
  <cellXfs count="102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/>
    <xf numFmtId="176" fontId="2" fillId="0" borderId="0" xfId="49" applyNumberFormat="1" applyFont="1" applyFill="1" applyBorder="1"/>
    <xf numFmtId="177" fontId="2" fillId="0" borderId="0" xfId="49" applyNumberFormat="1" applyFont="1" applyFill="1" applyBorder="1"/>
    <xf numFmtId="178" fontId="2" fillId="0" borderId="0" xfId="49" applyNumberFormat="1" applyFont="1" applyFill="1" applyBorder="1"/>
    <xf numFmtId="3" fontId="2" fillId="0" borderId="0" xfId="49" applyNumberFormat="1" applyFont="1" applyFill="1" applyBorder="1"/>
    <xf numFmtId="176" fontId="3" fillId="0" borderId="0" xfId="49" applyNumberFormat="1" applyFont="1" applyFill="1" applyBorder="1"/>
    <xf numFmtId="177" fontId="3" fillId="0" borderId="0" xfId="49" applyNumberFormat="1" applyFont="1" applyFill="1" applyBorder="1"/>
    <xf numFmtId="0" fontId="3" fillId="0" borderId="0" xfId="49" applyNumberFormat="1" applyFont="1" applyFill="1" applyBorder="1"/>
    <xf numFmtId="176" fontId="4" fillId="0" borderId="0" xfId="49" applyNumberFormat="1" applyFont="1" applyFill="1" applyBorder="1"/>
    <xf numFmtId="178" fontId="3" fillId="0" borderId="0" xfId="49" applyNumberFormat="1" applyFont="1" applyFill="1" applyBorder="1"/>
    <xf numFmtId="0" fontId="5" fillId="0" borderId="0" xfId="49" applyNumberFormat="1" applyFont="1" applyFill="1" applyBorder="1"/>
    <xf numFmtId="176" fontId="6" fillId="3" borderId="0" xfId="49" applyNumberFormat="1" applyFont="1" applyFill="1" applyBorder="1" applyAlignment="1">
      <alignment horizontal="center"/>
    </xf>
    <xf numFmtId="176" fontId="5" fillId="4" borderId="0" xfId="49" applyNumberFormat="1" applyFont="1" applyFill="1" applyBorder="1" applyAlignment="1">
      <alignment horizontal="center"/>
    </xf>
    <xf numFmtId="176" fontId="5" fillId="5" borderId="0" xfId="49" applyNumberFormat="1" applyFont="1" applyFill="1" applyBorder="1" applyAlignment="1">
      <alignment horizontal="center"/>
    </xf>
    <xf numFmtId="176" fontId="5" fillId="6" borderId="0" xfId="49" applyNumberFormat="1" applyFont="1" applyFill="1" applyBorder="1" applyAlignment="1">
      <alignment horizontal="center"/>
    </xf>
    <xf numFmtId="176" fontId="6" fillId="7" borderId="0" xfId="49" applyNumberFormat="1" applyFont="1" applyFill="1" applyBorder="1" applyAlignment="1">
      <alignment horizontal="center"/>
    </xf>
    <xf numFmtId="176" fontId="5" fillId="8" borderId="0" xfId="49" applyNumberFormat="1" applyFont="1" applyFill="1" applyBorder="1" applyAlignment="1">
      <alignment horizontal="center"/>
    </xf>
    <xf numFmtId="176" fontId="5" fillId="9" borderId="0" xfId="49" applyNumberFormat="1" applyFont="1" applyFill="1" applyBorder="1" applyAlignment="1">
      <alignment horizontal="center"/>
    </xf>
    <xf numFmtId="176" fontId="6" fillId="10" borderId="0" xfId="49" applyNumberFormat="1" applyFont="1" applyFill="1" applyBorder="1" applyAlignment="1">
      <alignment horizontal="center"/>
    </xf>
    <xf numFmtId="176" fontId="5" fillId="11" borderId="0" xfId="49" applyNumberFormat="1" applyFont="1" applyFill="1" applyBorder="1" applyAlignment="1">
      <alignment horizontal="center"/>
    </xf>
    <xf numFmtId="176" fontId="5" fillId="12" borderId="0" xfId="49" applyNumberFormat="1" applyFont="1" applyFill="1" applyBorder="1" applyAlignment="1">
      <alignment horizontal="center"/>
    </xf>
    <xf numFmtId="176" fontId="5" fillId="13" borderId="0" xfId="49" applyNumberFormat="1" applyFont="1" applyFill="1" applyBorder="1" applyAlignment="1">
      <alignment horizontal="center"/>
    </xf>
    <xf numFmtId="176" fontId="5" fillId="14" borderId="0" xfId="49" applyNumberFormat="1" applyFont="1" applyFill="1" applyBorder="1" applyAlignment="1">
      <alignment horizontal="center"/>
    </xf>
    <xf numFmtId="176" fontId="5" fillId="15" borderId="0" xfId="49" applyNumberFormat="1" applyFont="1" applyFill="1" applyBorder="1" applyAlignment="1">
      <alignment horizontal="center"/>
    </xf>
    <xf numFmtId="176" fontId="5" fillId="16" borderId="0" xfId="49" applyNumberFormat="1" applyFont="1" applyFill="1" applyBorder="1" applyAlignment="1">
      <alignment horizontal="center"/>
    </xf>
    <xf numFmtId="176" fontId="5" fillId="17" borderId="0" xfId="49" applyNumberFormat="1" applyFont="1" applyFill="1" applyBorder="1" applyAlignment="1">
      <alignment horizontal="center"/>
    </xf>
    <xf numFmtId="176" fontId="6" fillId="18" borderId="0" xfId="49" applyNumberFormat="1" applyFont="1" applyFill="1" applyBorder="1" applyAlignment="1">
      <alignment horizontal="center"/>
    </xf>
    <xf numFmtId="176" fontId="5" fillId="19" borderId="0" xfId="49" applyNumberFormat="1" applyFont="1" applyFill="1" applyBorder="1" applyAlignment="1">
      <alignment horizontal="center"/>
    </xf>
    <xf numFmtId="176" fontId="5" fillId="20" borderId="0" xfId="49" applyNumberFormat="1" applyFont="1" applyFill="1" applyBorder="1" applyAlignment="1">
      <alignment horizontal="center"/>
    </xf>
    <xf numFmtId="176" fontId="5" fillId="21" borderId="0" xfId="49" applyNumberFormat="1" applyFont="1" applyFill="1" applyBorder="1" applyAlignment="1">
      <alignment horizontal="center"/>
    </xf>
    <xf numFmtId="176" fontId="5" fillId="22" borderId="0" xfId="49" applyNumberFormat="1" applyFont="1" applyFill="1" applyBorder="1" applyAlignment="1">
      <alignment horizontal="center"/>
    </xf>
    <xf numFmtId="176" fontId="5" fillId="23" borderId="0" xfId="49" applyNumberFormat="1" applyFont="1" applyFill="1" applyBorder="1" applyAlignment="1">
      <alignment horizontal="center"/>
    </xf>
    <xf numFmtId="176" fontId="5" fillId="24" borderId="0" xfId="49" applyNumberFormat="1" applyFont="1" applyFill="1" applyBorder="1" applyAlignment="1">
      <alignment horizontal="center"/>
    </xf>
    <xf numFmtId="176" fontId="5" fillId="25" borderId="0" xfId="49" applyNumberFormat="1" applyFont="1" applyFill="1" applyBorder="1" applyAlignment="1">
      <alignment horizontal="center"/>
    </xf>
    <xf numFmtId="176" fontId="6" fillId="26" borderId="0" xfId="49" applyNumberFormat="1" applyFont="1" applyFill="1" applyBorder="1" applyAlignment="1">
      <alignment horizontal="center"/>
    </xf>
    <xf numFmtId="176" fontId="6" fillId="27" borderId="0" xfId="49" applyNumberFormat="1" applyFont="1" applyFill="1" applyBorder="1" applyAlignment="1">
      <alignment horizontal="center"/>
    </xf>
    <xf numFmtId="176" fontId="5" fillId="28" borderId="0" xfId="49" applyNumberFormat="1" applyFont="1" applyFill="1" applyBorder="1" applyAlignment="1">
      <alignment horizontal="center"/>
    </xf>
    <xf numFmtId="176" fontId="5" fillId="29" borderId="0" xfId="49" applyNumberFormat="1" applyFont="1" applyFill="1" applyBorder="1" applyAlignment="1">
      <alignment horizontal="center"/>
    </xf>
    <xf numFmtId="176" fontId="6" fillId="30" borderId="0" xfId="49" applyNumberFormat="1" applyFont="1" applyFill="1" applyBorder="1" applyAlignment="1">
      <alignment horizontal="center"/>
    </xf>
    <xf numFmtId="176" fontId="5" fillId="31" borderId="0" xfId="49" applyNumberFormat="1" applyFont="1" applyFill="1" applyBorder="1" applyAlignment="1">
      <alignment horizontal="center"/>
    </xf>
    <xf numFmtId="176" fontId="5" fillId="32" borderId="0" xfId="49" applyNumberFormat="1" applyFont="1" applyFill="1" applyBorder="1" applyAlignment="1">
      <alignment horizontal="center"/>
    </xf>
    <xf numFmtId="176" fontId="5" fillId="33" borderId="0" xfId="49" applyNumberFormat="1" applyFont="1" applyFill="1" applyBorder="1" applyAlignment="1">
      <alignment horizontal="center"/>
    </xf>
    <xf numFmtId="176" fontId="6" fillId="34" borderId="0" xfId="49" applyNumberFormat="1" applyFont="1" applyFill="1" applyBorder="1" applyAlignment="1">
      <alignment horizontal="center"/>
    </xf>
    <xf numFmtId="176" fontId="5" fillId="35" borderId="0" xfId="49" applyNumberFormat="1" applyFont="1" applyFill="1" applyBorder="1" applyAlignment="1">
      <alignment horizontal="center"/>
    </xf>
    <xf numFmtId="176" fontId="5" fillId="36" borderId="0" xfId="49" applyNumberFormat="1" applyFont="1" applyFill="1" applyBorder="1" applyAlignment="1">
      <alignment horizontal="center"/>
    </xf>
    <xf numFmtId="176" fontId="5" fillId="37" borderId="0" xfId="49" applyNumberFormat="1" applyFont="1" applyFill="1" applyBorder="1" applyAlignment="1">
      <alignment horizontal="center"/>
    </xf>
    <xf numFmtId="176" fontId="6" fillId="38" borderId="0" xfId="49" applyNumberFormat="1" applyFont="1" applyFill="1" applyBorder="1" applyAlignment="1">
      <alignment horizontal="center"/>
    </xf>
    <xf numFmtId="176" fontId="6" fillId="39" borderId="0" xfId="49" applyNumberFormat="1" applyFont="1" applyFill="1" applyBorder="1" applyAlignment="1">
      <alignment horizontal="center"/>
    </xf>
    <xf numFmtId="176" fontId="5" fillId="40" borderId="0" xfId="49" applyNumberFormat="1" applyFont="1" applyFill="1" applyBorder="1" applyAlignment="1">
      <alignment horizontal="center"/>
    </xf>
    <xf numFmtId="176" fontId="5" fillId="41" borderId="0" xfId="49" applyNumberFormat="1" applyFont="1" applyFill="1" applyBorder="1" applyAlignment="1">
      <alignment horizontal="center"/>
    </xf>
    <xf numFmtId="176" fontId="6" fillId="42" borderId="0" xfId="49" applyNumberFormat="1" applyFont="1" applyFill="1" applyBorder="1" applyAlignment="1">
      <alignment horizontal="center"/>
    </xf>
    <xf numFmtId="176" fontId="5" fillId="43" borderId="0" xfId="49" applyNumberFormat="1" applyFont="1" applyFill="1" applyBorder="1" applyAlignment="1">
      <alignment horizontal="center"/>
    </xf>
    <xf numFmtId="176" fontId="5" fillId="44" borderId="0" xfId="49" applyNumberFormat="1" applyFont="1" applyFill="1" applyBorder="1" applyAlignment="1">
      <alignment horizontal="center"/>
    </xf>
    <xf numFmtId="176" fontId="5" fillId="45" borderId="0" xfId="49" applyNumberFormat="1" applyFont="1" applyFill="1" applyBorder="1" applyAlignment="1">
      <alignment horizontal="center"/>
    </xf>
    <xf numFmtId="176" fontId="5" fillId="46" borderId="0" xfId="49" applyNumberFormat="1" applyFont="1" applyFill="1" applyBorder="1" applyAlignment="1">
      <alignment horizontal="center"/>
    </xf>
    <xf numFmtId="176" fontId="5" fillId="47" borderId="0" xfId="49" applyNumberFormat="1" applyFont="1" applyFill="1" applyBorder="1" applyAlignment="1">
      <alignment horizontal="center"/>
    </xf>
    <xf numFmtId="176" fontId="5" fillId="48" borderId="0" xfId="49" applyNumberFormat="1" applyFont="1" applyFill="1" applyBorder="1" applyAlignment="1">
      <alignment horizontal="center"/>
    </xf>
    <xf numFmtId="176" fontId="6" fillId="49" borderId="0" xfId="49" applyNumberFormat="1" applyFont="1" applyFill="1" applyBorder="1" applyAlignment="1">
      <alignment horizontal="center"/>
    </xf>
    <xf numFmtId="176" fontId="5" fillId="50" borderId="0" xfId="49" applyNumberFormat="1" applyFont="1" applyFill="1" applyBorder="1" applyAlignment="1">
      <alignment horizontal="center"/>
    </xf>
    <xf numFmtId="176" fontId="5" fillId="51" borderId="0" xfId="49" applyNumberFormat="1" applyFont="1" applyFill="1" applyBorder="1" applyAlignment="1">
      <alignment horizontal="center"/>
    </xf>
    <xf numFmtId="176" fontId="5" fillId="52" borderId="0" xfId="49" applyNumberFormat="1" applyFont="1" applyFill="1" applyBorder="1" applyAlignment="1">
      <alignment horizontal="center"/>
    </xf>
    <xf numFmtId="176" fontId="5" fillId="53" borderId="0" xfId="49" applyNumberFormat="1" applyFont="1" applyFill="1" applyBorder="1" applyAlignment="1">
      <alignment horizontal="center"/>
    </xf>
    <xf numFmtId="176" fontId="5" fillId="54" borderId="0" xfId="49" applyNumberFormat="1" applyFont="1" applyFill="1" applyBorder="1" applyAlignment="1">
      <alignment horizontal="center"/>
    </xf>
    <xf numFmtId="176" fontId="5" fillId="55" borderId="0" xfId="49" applyNumberFormat="1" applyFont="1" applyFill="1" applyBorder="1" applyAlignment="1">
      <alignment horizontal="center"/>
    </xf>
    <xf numFmtId="176" fontId="5" fillId="56" borderId="0" xfId="49" applyNumberFormat="1" applyFont="1" applyFill="1" applyBorder="1" applyAlignment="1">
      <alignment horizontal="center"/>
    </xf>
    <xf numFmtId="176" fontId="6" fillId="57" borderId="0" xfId="49" applyNumberFormat="1" applyFont="1" applyFill="1" applyBorder="1" applyAlignment="1">
      <alignment horizontal="center"/>
    </xf>
    <xf numFmtId="176" fontId="5" fillId="58" borderId="0" xfId="49" applyNumberFormat="1" applyFont="1" applyFill="1" applyBorder="1" applyAlignment="1">
      <alignment horizontal="center"/>
    </xf>
    <xf numFmtId="176" fontId="5" fillId="59" borderId="0" xfId="49" applyNumberFormat="1" applyFont="1" applyFill="1" applyBorder="1" applyAlignment="1">
      <alignment horizontal="center"/>
    </xf>
    <xf numFmtId="176" fontId="5" fillId="60" borderId="0" xfId="49" applyNumberFormat="1" applyFont="1" applyFill="1" applyBorder="1" applyAlignment="1">
      <alignment horizontal="center"/>
    </xf>
    <xf numFmtId="176" fontId="6" fillId="61" borderId="0" xfId="49" applyNumberFormat="1" applyFont="1" applyFill="1" applyBorder="1" applyAlignment="1">
      <alignment horizontal="center"/>
    </xf>
    <xf numFmtId="176" fontId="5" fillId="62" borderId="0" xfId="49" applyNumberFormat="1" applyFont="1" applyFill="1" applyBorder="1" applyAlignment="1">
      <alignment horizontal="center"/>
    </xf>
    <xf numFmtId="176" fontId="5" fillId="63" borderId="0" xfId="49" applyNumberFormat="1" applyFont="1" applyFill="1" applyBorder="1" applyAlignment="1">
      <alignment horizontal="center"/>
    </xf>
    <xf numFmtId="176" fontId="6" fillId="64" borderId="0" xfId="49" applyNumberFormat="1" applyFont="1" applyFill="1" applyBorder="1" applyAlignment="1">
      <alignment horizontal="center"/>
    </xf>
    <xf numFmtId="176" fontId="5" fillId="65" borderId="0" xfId="49" applyNumberFormat="1" applyFont="1" applyFill="1" applyBorder="1" applyAlignment="1">
      <alignment horizontal="center"/>
    </xf>
    <xf numFmtId="176" fontId="5" fillId="66" borderId="0" xfId="49" applyNumberFormat="1" applyFont="1" applyFill="1" applyBorder="1" applyAlignment="1">
      <alignment horizontal="center"/>
    </xf>
    <xf numFmtId="176" fontId="5" fillId="67" borderId="0" xfId="49" applyNumberFormat="1" applyFont="1" applyFill="1" applyBorder="1" applyAlignment="1">
      <alignment horizontal="center"/>
    </xf>
    <xf numFmtId="2" fontId="2" fillId="0" borderId="0" xfId="49" applyNumberFormat="1" applyFont="1" applyFill="1" applyBorder="1"/>
    <xf numFmtId="2" fontId="3" fillId="0" borderId="0" xfId="49" applyNumberFormat="1" applyFont="1" applyFill="1" applyBorder="1"/>
    <xf numFmtId="0" fontId="7" fillId="68" borderId="0" xfId="49" applyNumberFormat="1" applyFont="1" applyFill="1" applyBorder="1"/>
    <xf numFmtId="2" fontId="7" fillId="68" borderId="0" xfId="49" applyNumberFormat="1" applyFont="1" applyFill="1" applyBorder="1"/>
    <xf numFmtId="0" fontId="8" fillId="2" borderId="0" xfId="49" applyNumberFormat="1" applyFont="1" applyFill="1" applyBorder="1" applyAlignment="1">
      <alignment horizontal="left" vertical="center"/>
    </xf>
    <xf numFmtId="0" fontId="9" fillId="69" borderId="0" xfId="49" applyNumberFormat="1" applyFont="1" applyFill="1" applyBorder="1" applyAlignment="1">
      <alignment vertical="center" wrapText="1"/>
    </xf>
    <xf numFmtId="0" fontId="10" fillId="2" borderId="1" xfId="49" applyNumberFormat="1" applyFont="1" applyFill="1" applyBorder="1" applyAlignment="1">
      <alignment horizontal="center" vertical="center" wrapText="1"/>
    </xf>
    <xf numFmtId="0" fontId="10" fillId="2" borderId="2" xfId="49" applyNumberFormat="1" applyFont="1" applyFill="1" applyBorder="1" applyAlignment="1">
      <alignment horizontal="center" vertical="center" wrapText="1"/>
    </xf>
    <xf numFmtId="0" fontId="10" fillId="2" borderId="3" xfId="49" applyNumberFormat="1" applyFont="1" applyFill="1" applyBorder="1" applyAlignment="1">
      <alignment horizontal="center" vertical="center" wrapText="1"/>
    </xf>
    <xf numFmtId="0" fontId="11" fillId="0" borderId="4" xfId="49" applyNumberFormat="1" applyFont="1" applyFill="1" applyBorder="1" applyAlignment="1">
      <alignment vertical="top" wrapText="1"/>
    </xf>
    <xf numFmtId="0" fontId="11" fillId="0" borderId="5" xfId="49" applyNumberFormat="1" applyFont="1" applyFill="1" applyBorder="1" applyAlignment="1">
      <alignment vertical="top" wrapText="1"/>
    </xf>
    <xf numFmtId="0" fontId="11" fillId="0" borderId="6" xfId="49" applyNumberFormat="1" applyFont="1" applyFill="1" applyBorder="1" applyAlignment="1">
      <alignment vertical="top" wrapText="1"/>
    </xf>
    <xf numFmtId="0" fontId="11" fillId="0" borderId="7" xfId="49" applyNumberFormat="1" applyFont="1" applyFill="1" applyBorder="1" applyAlignment="1">
      <alignment vertical="top" wrapText="1"/>
    </xf>
    <xf numFmtId="0" fontId="11" fillId="0" borderId="8" xfId="49" applyNumberFormat="1" applyFont="1" applyFill="1" applyBorder="1" applyAlignment="1">
      <alignment vertical="top" wrapText="1"/>
    </xf>
    <xf numFmtId="0" fontId="11" fillId="0" borderId="9" xfId="49" applyNumberFormat="1" applyFont="1" applyFill="1" applyBorder="1" applyAlignment="1">
      <alignment vertical="top" wrapText="1"/>
    </xf>
    <xf numFmtId="0" fontId="11" fillId="0" borderId="10" xfId="49" applyNumberFormat="1" applyFont="1" applyFill="1" applyBorder="1" applyAlignment="1">
      <alignment vertical="top" wrapText="1"/>
    </xf>
    <xf numFmtId="0" fontId="11" fillId="0" borderId="11" xfId="49" applyNumberFormat="1" applyFont="1" applyFill="1" applyBorder="1" applyAlignment="1">
      <alignment vertical="top" wrapText="1"/>
    </xf>
    <xf numFmtId="0" fontId="11" fillId="0" borderId="12" xfId="49" applyNumberFormat="1" applyFont="1" applyFill="1" applyBorder="1" applyAlignment="1">
      <alignment vertical="top" wrapText="1"/>
    </xf>
    <xf numFmtId="0" fontId="12" fillId="38" borderId="0" xfId="49" applyNumberFormat="1" applyFont="1" applyFill="1" applyBorder="1" applyAlignment="1">
      <alignment vertical="center"/>
    </xf>
    <xf numFmtId="0" fontId="11" fillId="70" borderId="0" xfId="49" applyNumberFormat="1" applyFont="1" applyFill="1" applyBorder="1" applyAlignment="1">
      <alignment vertical="center" wrapText="1"/>
    </xf>
    <xf numFmtId="0" fontId="11" fillId="71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Fig2aAlignSummaryTable" displayName="Fig2aAlignSummaryTable" ref="A1:L7" totalsRowShown="0">
  <autoFilter xmlns:etc="http://www.wps.cn/officeDocument/2017/etCustomData" ref="A1:L7" etc:filterBottomFollowUsedRange="0"/>
  <tableColumns count="12">
    <tableColumn id="1" name="figure_order"/>
    <tableColumn id="2" name="method_key"/>
    <tableColumn id="3" name="figure_method"/>
    <tableColumn id="4" name="n_outputs"/>
    <tableColumn id="5" name="mean_precision_pct"/>
    <tableColumn id="6" name="sd_precision_pct"/>
    <tableColumn id="7" name="mean_recall_pct"/>
    <tableColumn id="8" name="sd_recall_pct"/>
    <tableColumn id="9" name="mean_f1_pct"/>
    <tableColumn id="10" name="sd_f1_pct"/>
    <tableColumn id="11" name="min_f1_pct"/>
    <tableColumn id="12" name="max_f1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Fig2aAlignRawTable" displayName="Fig2aAlignRawTable" ref="A1:AC121" totalsRowShown="0">
  <autoFilter xmlns:etc="http://www.wps.cn/officeDocument/2017/etCustomData" ref="A1:AC121" etc:filterBottomFollowUsedRange="0"/>
  <tableColumns count="29">
    <tableColumn id="1" name="method_order"/>
    <tableColumn id="2" name="method_key"/>
    <tableColumn id="3" name="figure_method"/>
    <tableColumn id="4" name="source_display_name"/>
    <tableColumn id="5" name="output_id"/>
    <tableColumn id="6" name="output_label"/>
    <tableColumn id="7" name="precision_pct"/>
    <tableColumn id="8" name="recall_pct"/>
    <tableColumn id="9" name="f1_source_pct"/>
    <tableColumn id="10" name="f1_recalc_pct"/>
    <tableColumn id="11" name="f1_delta_pct"/>
    <tableColumn id="12" name="rank_by_output_f1"/>
    <tableColumn id="13" name="gt_entities_total"/>
    <tableColumn id="14" name="gt_pair_eligible_entities"/>
    <tableColumn id="15" name="predicted_pairs"/>
    <tableColumn id="16" name="anchor_scoped_predicted_pairs"/>
    <tableColumn id="17" name="correct_pairs"/>
    <tableColumn id="18" name="false_pairs_total"/>
    <tableColumn id="19" name="false_pairs_wrong_text"/>
    <tableColumn id="20" name="false_pairs_non_eligible"/>
    <tableColumn id="21" name="missed_eligible_pairs"/>
    <tableColumn id="22" name="anchor_scoped_precision_pct"/>
    <tableColumn id="23" name="anchor_scoped_f1_pct"/>
    <tableColumn id="24" name="strict_precision_pct"/>
    <tableColumn id="25" name="strict_f1_pct"/>
    <tableColumn id="26" name="prediction_source"/>
    <tableColumn id="27" name="run_status"/>
    <tableColumn id="28" name="metric_profile"/>
    <tableColumn id="29" name="evaluation_json_relpa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Fig2ModelSummaryTable" displayName="Fig2ModelSummaryTable" ref="A1:P10" totalsRowShown="0">
  <autoFilter xmlns:etc="http://www.wps.cn/officeDocument/2017/etCustomData" ref="A1:P10" etc:filterBottomFollowUsedRange="0"/>
  <tableColumns count="16">
    <tableColumn id="1" name="figure_order"/>
    <tableColumn id="2" name="model_short"/>
    <tableColumn id="3" name="model_id"/>
    <tableColumn id="4" name="n_outputs"/>
    <tableColumn id="5" name="image_precision_pct"/>
    <tableColumn id="6" name="image_recall_pct"/>
    <tableColumn id="7" name="image_f1_pct"/>
    <tableColumn id="8" name="text_precision_pct"/>
    <tableColumn id="9" name="text_recall_pct"/>
    <tableColumn id="10" name="text_f1_pct"/>
    <tableColumn id="11" name="kg_score_pct"/>
    <tableColumn id="12" name="overall_heatmap_pct"/>
    <tableColumn id="13" name="mean_time_sec"/>
    <tableColumn id="14" name="mean_cost_usd"/>
    <tableColumn id="15" name="mean_overall_distribution_pct"/>
    <tableColumn id="16" name="heatmap_minus_distribution_mean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Fig2cToERawTable" displayName="Fig2cToERawTable" ref="A1:AB181" totalsRowShown="0">
  <autoFilter xmlns:etc="http://www.wps.cn/officeDocument/2017/etCustomData" ref="A1:AB181" etc:filterBottomFollowUsedRange="0"/>
  <tableColumns count="28">
    <tableColumn id="1" name="model_order"/>
    <tableColumn id="2" name="model_short"/>
    <tableColumn id="3" name="model_id"/>
    <tableColumn id="4" name="output_id"/>
    <tableColumn id="5" name="image_precision_pct"/>
    <tableColumn id="6" name="image_recall_pct"/>
    <tableColumn id="7" name="image_f1_pct"/>
    <tableColumn id="8" name="text_precision_pct"/>
    <tableColumn id="9" name="text_recall_pct"/>
    <tableColumn id="10" name="text_f1_pct"/>
    <tableColumn id="11" name="kg_score_pct"/>
    <tableColumn id="12" name="kg_schema_0_1"/>
    <tableColumn id="13" name="kg_section_connectivity_0_1"/>
    <tableColumn id="14" name="kg_duplicate_clean_0_1"/>
    <tableColumn id="15" name="time_sec"/>
    <tableColumn id="16" name="cost_usd"/>
    <tableColumn id="17" name="prompt_tokens"/>
    <tableColumn id="18" name="completion_tokens"/>
    <tableColumn id="19" name="total_tokens"/>
    <tableColumn id="20" name="parallel_runtime_sec"/>
    <tableColumn id="21" name="serial_runtime_sec"/>
    <tableColumn id="22" name="text_extraction_time_sec"/>
    <tableColumn id="23" name="image_extraction_time_sec"/>
    <tableColumn id="24" name="alignment_time_sec"/>
    <tableColumn id="25" name="overall_source_pct"/>
    <tableColumn id="26" name="overall_recalc_pct"/>
    <tableColumn id="27" name="overall_delta_pct"/>
    <tableColumn id="28" name="metadata_relpa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DataDictionaryTable" displayName="SourceDataDictionaryTable" ref="A1:F47" totalsRowShown="0">
  <autoFilter xmlns:etc="http://www.wps.cn/officeDocument/2017/etCustomData" ref="A1:F47" etc:filterBottomFollowUsedRange="0"/>
  <tableColumns count="6">
    <tableColumn id="1" name="sheet"/>
    <tableColumn id="2" name="variable"/>
    <tableColumn id="3" name="type"/>
    <tableColumn id="4" name="units_or_range"/>
    <tableColumn id="5" name="definition"/>
    <tableColumn id="6" name="derivation_or_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ProvenanceTable" displayName="SourceProvenanceTable" ref="A1:F10" totalsRowShown="0">
  <autoFilter xmlns:etc="http://www.wps.cn/officeDocument/2017/etCustomData" ref="A1:F10" etc:filterBottomFollowUsedRange="0"/>
  <tableColumns count="6">
    <tableColumn id="1" name="dataset_id"/>
    <tableColumn id="2" name="relative_path"/>
    <tableColumn id="3" name="role"/>
    <tableColumn id="4" name="row_count"/>
    <tableColumn id="5" name="sha256"/>
    <tableColumn id="6" name="workbook_prepared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showGridLines="0" tabSelected="1" topLeftCell="A6" workbookViewId="0">
      <selection activeCell="C27" sqref="C27"/>
    </sheetView>
  </sheetViews>
  <sheetFormatPr defaultColWidth="9" defaultRowHeight="14.4" outlineLevelCol="7"/>
  <cols>
    <col min="1" max="1" width="24" customWidth="1"/>
    <col min="2" max="2" width="14" customWidth="1"/>
    <col min="3" max="3" width="58" customWidth="1"/>
    <col min="4" max="4" width="14" customWidth="1"/>
    <col min="5" max="8" width="12" customWidth="1"/>
  </cols>
  <sheetData>
    <row r="1" spans="1:8">
      <c r="A1" s="85" t="s">
        <v>0</v>
      </c>
      <c r="B1" s="85"/>
      <c r="C1" s="85"/>
      <c r="D1" s="85"/>
      <c r="E1" s="85"/>
      <c r="F1" s="85"/>
      <c r="G1" s="85"/>
      <c r="H1" s="85"/>
    </row>
    <row r="2" spans="1:8">
      <c r="A2" s="85"/>
      <c r="B2" s="85"/>
      <c r="C2" s="85"/>
      <c r="D2" s="85"/>
      <c r="E2" s="85"/>
      <c r="F2" s="85"/>
      <c r="G2" s="85"/>
      <c r="H2" s="85"/>
    </row>
    <row r="3" ht="42" customHeight="1" spans="1:8">
      <c r="A3" s="86" t="s">
        <v>1</v>
      </c>
      <c r="B3" s="86"/>
      <c r="C3" s="86"/>
      <c r="D3" s="86"/>
      <c r="E3" s="86"/>
      <c r="F3" s="86"/>
      <c r="G3" s="86"/>
      <c r="H3" s="86"/>
    </row>
    <row r="5" ht="34" customHeight="1" spans="1:8">
      <c r="A5" s="87" t="s">
        <v>2</v>
      </c>
      <c r="B5" s="88" t="s">
        <v>3</v>
      </c>
      <c r="C5" s="88" t="s">
        <v>4</v>
      </c>
      <c r="D5" s="89" t="s">
        <v>5</v>
      </c>
    </row>
    <row r="6" ht="27" customHeight="1" spans="1:8">
      <c r="A6" s="90" t="s">
        <v>6</v>
      </c>
      <c r="B6" s="91" t="s">
        <v>7</v>
      </c>
      <c r="C6" s="91" t="s">
        <v>8</v>
      </c>
      <c r="D6" s="92">
        <v>6</v>
      </c>
    </row>
    <row r="7" ht="27" customHeight="1" spans="1:8">
      <c r="A7" s="93" t="s">
        <v>9</v>
      </c>
      <c r="B7" s="94" t="s">
        <v>7</v>
      </c>
      <c r="C7" s="94" t="s">
        <v>10</v>
      </c>
      <c r="D7" s="95">
        <v>120</v>
      </c>
    </row>
    <row r="8" ht="27" customHeight="1" spans="1:8">
      <c r="A8" s="93" t="s">
        <v>11</v>
      </c>
      <c r="B8" s="94" t="s">
        <v>12</v>
      </c>
      <c r="C8" s="94" t="s">
        <v>13</v>
      </c>
      <c r="D8" s="95">
        <v>9</v>
      </c>
    </row>
    <row r="9" ht="27" customHeight="1" spans="1:8">
      <c r="A9" s="93" t="s">
        <v>14</v>
      </c>
      <c r="B9" s="94" t="s">
        <v>15</v>
      </c>
      <c r="C9" s="94" t="s">
        <v>16</v>
      </c>
      <c r="D9" s="95">
        <v>9</v>
      </c>
    </row>
    <row r="10" ht="27" customHeight="1" spans="1:8">
      <c r="A10" s="93" t="s">
        <v>17</v>
      </c>
      <c r="B10" s="94" t="s">
        <v>18</v>
      </c>
      <c r="C10" s="94" t="s">
        <v>19</v>
      </c>
      <c r="D10" s="95">
        <v>180</v>
      </c>
    </row>
    <row r="11" ht="27" customHeight="1" spans="1:8">
      <c r="A11" s="93" t="s">
        <v>20</v>
      </c>
      <c r="B11" s="94" t="s">
        <v>21</v>
      </c>
      <c r="C11" s="94" t="s">
        <v>22</v>
      </c>
      <c r="D11" s="95">
        <v>46</v>
      </c>
    </row>
    <row r="12" ht="27" customHeight="1" spans="1:8">
      <c r="A12" s="96" t="s">
        <v>23</v>
      </c>
      <c r="B12" s="97" t="s">
        <v>21</v>
      </c>
      <c r="C12" s="97" t="s">
        <v>24</v>
      </c>
      <c r="D12" s="98">
        <v>9</v>
      </c>
    </row>
    <row r="14" spans="1:8">
      <c r="A14" s="99" t="s">
        <v>25</v>
      </c>
      <c r="B14" s="99"/>
      <c r="C14" s="99"/>
      <c r="D14" s="99"/>
      <c r="E14" s="99"/>
      <c r="F14" s="99"/>
      <c r="G14" s="99"/>
      <c r="H14" s="99"/>
    </row>
    <row r="15" ht="30" customHeight="1" spans="1:8">
      <c r="A15" s="100" t="s">
        <v>26</v>
      </c>
      <c r="B15" s="100"/>
      <c r="C15" s="100"/>
      <c r="D15" s="100"/>
      <c r="E15" s="100"/>
      <c r="F15" s="100"/>
      <c r="G15" s="100"/>
      <c r="H15" s="100"/>
    </row>
    <row r="16" ht="30" customHeight="1" spans="1:8">
      <c r="A16" s="101" t="s">
        <v>27</v>
      </c>
      <c r="B16" s="101"/>
      <c r="C16" s="101"/>
      <c r="D16" s="101"/>
      <c r="E16" s="101"/>
      <c r="F16" s="101"/>
      <c r="G16" s="101"/>
      <c r="H16" s="101"/>
    </row>
    <row r="17" ht="30" customHeight="1" spans="1:8">
      <c r="A17" s="100" t="s">
        <v>28</v>
      </c>
      <c r="B17" s="100"/>
      <c r="C17" s="100"/>
      <c r="D17" s="100"/>
      <c r="E17" s="100"/>
      <c r="F17" s="100"/>
      <c r="G17" s="100"/>
      <c r="H17" s="100"/>
    </row>
    <row r="18" ht="30" customHeight="1" spans="1:8">
      <c r="A18" s="101" t="s">
        <v>29</v>
      </c>
      <c r="B18" s="101"/>
      <c r="C18" s="101"/>
      <c r="D18" s="101"/>
      <c r="E18" s="101"/>
      <c r="F18" s="101"/>
      <c r="G18" s="101"/>
      <c r="H18" s="101"/>
    </row>
    <row r="19" ht="30" customHeight="1" spans="1:8">
      <c r="A19" s="100" t="s">
        <v>30</v>
      </c>
      <c r="B19" s="100"/>
      <c r="C19" s="100"/>
      <c r="D19" s="100"/>
      <c r="E19" s="100"/>
      <c r="F19" s="100"/>
      <c r="G19" s="100"/>
      <c r="H19" s="100"/>
    </row>
    <row r="20" ht="42" customHeight="1" spans="1:8">
      <c r="A20" s="101" t="s">
        <v>31</v>
      </c>
      <c r="B20" s="101"/>
      <c r="C20" s="101"/>
      <c r="D20" s="101"/>
      <c r="E20" s="101"/>
      <c r="F20" s="101"/>
      <c r="G20" s="101"/>
      <c r="H20" s="101"/>
    </row>
    <row r="21" ht="30" customHeight="1" spans="1:8">
      <c r="A21" s="100" t="s">
        <v>32</v>
      </c>
      <c r="B21" s="100"/>
      <c r="C21" s="100"/>
      <c r="D21" s="100"/>
      <c r="E21" s="100"/>
      <c r="F21" s="100"/>
      <c r="G21" s="100"/>
      <c r="H21" s="100"/>
    </row>
    <row r="22" ht="42" customHeight="1" spans="1:8">
      <c r="A22" s="101" t="s">
        <v>33</v>
      </c>
      <c r="B22" s="101"/>
      <c r="C22" s="101"/>
      <c r="D22" s="101"/>
      <c r="E22" s="101"/>
      <c r="F22" s="101"/>
      <c r="G22" s="101"/>
      <c r="H22" s="101"/>
    </row>
  </sheetData>
  <mergeCells count="11">
    <mergeCell ref="A3:H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1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showGridLines="0" workbookViewId="0">
      <selection activeCell="A1" sqref="A1"/>
    </sheetView>
  </sheetViews>
  <sheetFormatPr defaultColWidth="9" defaultRowHeight="14.4" outlineLevelRow="6"/>
  <cols>
    <col min="1" max="1" width="12" customWidth="1"/>
    <col min="2" max="2" width="25" customWidth="1"/>
    <col min="3" max="3" width="20" customWidth="1"/>
    <col min="4" max="4" width="11" customWidth="1"/>
    <col min="5" max="5" width="16" customWidth="1"/>
    <col min="6" max="7" width="15" customWidth="1"/>
    <col min="8" max="8" width="14" customWidth="1"/>
    <col min="9" max="9" width="13" customWidth="1"/>
    <col min="10" max="12" width="12" customWidth="1"/>
  </cols>
  <sheetData>
    <row r="1" ht="34" customHeight="1" spans="1:12">
      <c r="A1" s="1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3" t="s">
        <v>45</v>
      </c>
    </row>
    <row r="2" spans="1:12">
      <c r="A2" s="83">
        <v>1</v>
      </c>
      <c r="B2" s="83" t="s">
        <v>46</v>
      </c>
      <c r="C2" s="83" t="s">
        <v>47</v>
      </c>
      <c r="D2" s="83">
        <f>COUNT('Fig2a Align Raw'!$G$2:$G$21)</f>
        <v>20</v>
      </c>
      <c r="E2" s="84">
        <f>AVERAGE('Fig2a Align Raw'!$G$2:$G$21)</f>
        <v>98.3425</v>
      </c>
      <c r="F2" s="84">
        <f>_xlfn.STDEV.S('Fig2a Align Raw'!$G$2:$G$21)</f>
        <v>4.40955287744091</v>
      </c>
      <c r="G2" s="84">
        <f>AVERAGE('Fig2a Align Raw'!$H$2:$H$21)</f>
        <v>83.7675</v>
      </c>
      <c r="H2" s="84">
        <f>_xlfn.STDEV.S('Fig2a Align Raw'!$H$2:$H$21)</f>
        <v>10.876440920874</v>
      </c>
      <c r="I2" s="84">
        <f>AVERAGE('Fig2a Align Raw'!$I$2:$I$21)</f>
        <v>90.061</v>
      </c>
      <c r="J2" s="84">
        <f>_xlfn.STDEV.S('Fig2a Align Raw'!$I$2:$I$21)</f>
        <v>7.01110765331098</v>
      </c>
      <c r="K2" s="84">
        <f>MIN('Fig2a Align Raw'!$I$2:$I$21)</f>
        <v>80</v>
      </c>
      <c r="L2" s="84">
        <f>MAX('Fig2a Align Raw'!$I$2:$I$21)</f>
        <v>98.8</v>
      </c>
    </row>
    <row r="3" spans="1:12">
      <c r="A3" s="5">
        <v>2</v>
      </c>
      <c r="B3" s="5" t="s">
        <v>48</v>
      </c>
      <c r="C3" s="5" t="s">
        <v>49</v>
      </c>
      <c r="D3" s="12">
        <f>COUNT('Fig2a Align Raw'!$G$22:$G$41)</f>
        <v>20</v>
      </c>
      <c r="E3" s="82">
        <f>AVERAGE('Fig2a Align Raw'!$G$22:$G$41)</f>
        <v>96.42</v>
      </c>
      <c r="F3" s="82">
        <f>_xlfn.STDEV.S('Fig2a Align Raw'!$G$22:$G$41)</f>
        <v>4.87170455417382</v>
      </c>
      <c r="G3" s="82">
        <f>AVERAGE('Fig2a Align Raw'!$H$22:$H$41)</f>
        <v>73.294</v>
      </c>
      <c r="H3" s="82">
        <f>_xlfn.STDEV.S('Fig2a Align Raw'!$H$22:$H$41)</f>
        <v>21.5055868873282</v>
      </c>
      <c r="I3" s="82">
        <f>AVERAGE('Fig2a Align Raw'!$I$22:$I$41)</f>
        <v>81.2765</v>
      </c>
      <c r="J3" s="82">
        <f>_xlfn.STDEV.S('Fig2a Align Raw'!$I$22:$I$41)</f>
        <v>15.6792599432633</v>
      </c>
      <c r="K3" s="82">
        <f>MIN('Fig2a Align Raw'!$I$22:$I$41)</f>
        <v>46.15</v>
      </c>
      <c r="L3" s="82">
        <f>MAX('Fig2a Align Raw'!$I$22:$I$41)</f>
        <v>100</v>
      </c>
    </row>
    <row r="4" spans="1:12">
      <c r="A4" s="5">
        <v>3</v>
      </c>
      <c r="B4" s="5" t="s">
        <v>50</v>
      </c>
      <c r="C4" s="5" t="s">
        <v>51</v>
      </c>
      <c r="D4" s="12">
        <f>COUNT('Fig2a Align Raw'!$G$42:$G$61)</f>
        <v>20</v>
      </c>
      <c r="E4" s="82">
        <f>AVERAGE('Fig2a Align Raw'!$G$42:$G$61)</f>
        <v>75.224</v>
      </c>
      <c r="F4" s="82">
        <f>_xlfn.STDEV.S('Fig2a Align Raw'!$G$42:$G$61)</f>
        <v>17.6453042508556</v>
      </c>
      <c r="G4" s="82">
        <f>AVERAGE('Fig2a Align Raw'!$H$42:$H$61)</f>
        <v>43.2505</v>
      </c>
      <c r="H4" s="82">
        <f>_xlfn.STDEV.S('Fig2a Align Raw'!$H$42:$H$61)</f>
        <v>24.9003353338232</v>
      </c>
      <c r="I4" s="82">
        <f>AVERAGE('Fig2a Align Raw'!$I$42:$I$61)</f>
        <v>52.206</v>
      </c>
      <c r="J4" s="82">
        <f>_xlfn.STDEV.S('Fig2a Align Raw'!$I$42:$I$61)</f>
        <v>22.073031509061</v>
      </c>
      <c r="K4" s="82">
        <f>MIN('Fig2a Align Raw'!$I$42:$I$61)</f>
        <v>20.69</v>
      </c>
      <c r="L4" s="82">
        <f>MAX('Fig2a Align Raw'!$I$42:$I$61)</f>
        <v>92.31</v>
      </c>
    </row>
    <row r="5" spans="1:12">
      <c r="A5" s="5">
        <v>4</v>
      </c>
      <c r="B5" s="5" t="s">
        <v>52</v>
      </c>
      <c r="C5" s="5" t="s">
        <v>53</v>
      </c>
      <c r="D5" s="12">
        <f>COUNT('Fig2a Align Raw'!$G$62:$G$81)</f>
        <v>20</v>
      </c>
      <c r="E5" s="82">
        <f>AVERAGE('Fig2a Align Raw'!$G$62:$G$81)</f>
        <v>67.1785</v>
      </c>
      <c r="F5" s="82">
        <f>_xlfn.STDEV.S('Fig2a Align Raw'!$G$62:$G$81)</f>
        <v>19.0330215193987</v>
      </c>
      <c r="G5" s="82">
        <f>AVERAGE('Fig2a Align Raw'!$H$62:$H$81)</f>
        <v>39.255</v>
      </c>
      <c r="H5" s="82">
        <f>_xlfn.STDEV.S('Fig2a Align Raw'!$H$62:$H$81)</f>
        <v>20.2001004426893</v>
      </c>
      <c r="I5" s="82">
        <f>AVERAGE('Fig2a Align Raw'!$I$62:$I$81)</f>
        <v>47.921</v>
      </c>
      <c r="J5" s="82">
        <f>_xlfn.STDEV.S('Fig2a Align Raw'!$I$62:$I$81)</f>
        <v>18.9481997200678</v>
      </c>
      <c r="K5" s="82">
        <f>MIN('Fig2a Align Raw'!$I$62:$I$81)</f>
        <v>21.43</v>
      </c>
      <c r="L5" s="82">
        <f>MAX('Fig2a Align Raw'!$I$62:$I$81)</f>
        <v>92.31</v>
      </c>
    </row>
    <row r="6" spans="1:12">
      <c r="A6" s="5">
        <v>5</v>
      </c>
      <c r="B6" s="5" t="s">
        <v>54</v>
      </c>
      <c r="C6" s="5" t="s">
        <v>55</v>
      </c>
      <c r="D6" s="12">
        <f>COUNT('Fig2a Align Raw'!$G$82:$G$101)</f>
        <v>20</v>
      </c>
      <c r="E6" s="82">
        <f>AVERAGE('Fig2a Align Raw'!$G$82:$G$101)</f>
        <v>72.114</v>
      </c>
      <c r="F6" s="82">
        <f>_xlfn.STDEV.S('Fig2a Align Raw'!$G$82:$G$101)</f>
        <v>15.4629718666034</v>
      </c>
      <c r="G6" s="82">
        <f>AVERAGE('Fig2a Align Raw'!$H$82:$H$101)</f>
        <v>34.6995</v>
      </c>
      <c r="H6" s="82">
        <f>_xlfn.STDEV.S('Fig2a Align Raw'!$H$82:$H$101)</f>
        <v>17.5360595330698</v>
      </c>
      <c r="I6" s="82">
        <f>AVERAGE('Fig2a Align Raw'!$I$82:$I$101)</f>
        <v>44.317</v>
      </c>
      <c r="J6" s="82">
        <f>_xlfn.STDEV.S('Fig2a Align Raw'!$I$82:$I$101)</f>
        <v>17.2083584647877</v>
      </c>
      <c r="K6" s="82">
        <f>MIN('Fig2a Align Raw'!$I$82:$I$101)</f>
        <v>19.57</v>
      </c>
      <c r="L6" s="82">
        <f>MAX('Fig2a Align Raw'!$I$82:$I$101)</f>
        <v>80.65</v>
      </c>
    </row>
    <row r="7" spans="1:12">
      <c r="A7" s="5">
        <v>6</v>
      </c>
      <c r="B7" s="5" t="s">
        <v>56</v>
      </c>
      <c r="C7" s="5" t="s">
        <v>57</v>
      </c>
      <c r="D7" s="12">
        <f>COUNT('Fig2a Align Raw'!$G$102:$G$121)</f>
        <v>20</v>
      </c>
      <c r="E7" s="82">
        <f>AVERAGE('Fig2a Align Raw'!$G$102:$G$121)</f>
        <v>71.2015</v>
      </c>
      <c r="F7" s="82">
        <f>_xlfn.STDEV.S('Fig2a Align Raw'!$G$102:$G$121)</f>
        <v>28.4311627166575</v>
      </c>
      <c r="G7" s="82">
        <f>AVERAGE('Fig2a Align Raw'!$H$102:$H$121)</f>
        <v>23.762</v>
      </c>
      <c r="H7" s="82">
        <f>_xlfn.STDEV.S('Fig2a Align Raw'!$H$102:$H$121)</f>
        <v>17.2568923225353</v>
      </c>
      <c r="I7" s="82">
        <f>AVERAGE('Fig2a Align Raw'!$I$102:$I$121)</f>
        <v>33.5825</v>
      </c>
      <c r="J7" s="82">
        <f>_xlfn.STDEV.S('Fig2a Align Raw'!$I$102:$I$121)</f>
        <v>19.8205350384526</v>
      </c>
      <c r="K7" s="82">
        <f>MIN('Fig2a Align Raw'!$I$102:$I$121)</f>
        <v>0</v>
      </c>
      <c r="L7" s="82">
        <f>MAX('Fig2a Align Raw'!$I$102:$I$121)</f>
        <v>75.86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1"/>
  <sheetViews>
    <sheetView showGridLines="0" workbookViewId="0">
      <selection activeCell="A1" sqref="A1"/>
    </sheetView>
  </sheetViews>
  <sheetFormatPr defaultColWidth="9" defaultRowHeight="14.4"/>
  <cols>
    <col min="1" max="1" width="9" customWidth="1"/>
    <col min="2" max="2" width="25" customWidth="1"/>
    <col min="3" max="3" width="20" customWidth="1"/>
    <col min="4" max="4" width="24" customWidth="1"/>
    <col min="5" max="5" width="10" customWidth="1"/>
    <col min="6" max="12" width="12" customWidth="1"/>
    <col min="13" max="13" width="13" customWidth="1"/>
    <col min="14" max="14" width="16" customWidth="1"/>
    <col min="15" max="15" width="13" customWidth="1"/>
    <col min="16" max="16" width="18" customWidth="1"/>
    <col min="17" max="17" width="12" customWidth="1"/>
    <col min="18" max="18" width="13" customWidth="1"/>
    <col min="19" max="19" width="16" customWidth="1"/>
    <col min="20" max="20" width="17" customWidth="1"/>
    <col min="21" max="21" width="14" customWidth="1"/>
    <col min="22" max="22" width="16" customWidth="1"/>
    <col min="23" max="24" width="14" customWidth="1"/>
    <col min="25" max="25" width="12" customWidth="1"/>
    <col min="26" max="26" width="24" customWidth="1"/>
    <col min="27" max="27" width="11" customWidth="1"/>
    <col min="28" max="28" width="15" customWidth="1"/>
    <col min="29" max="29" width="62" customWidth="1"/>
  </cols>
  <sheetData>
    <row r="1" ht="34" customHeight="1" spans="1:29">
      <c r="A1" s="1" t="s">
        <v>58</v>
      </c>
      <c r="B1" s="2" t="s">
        <v>35</v>
      </c>
      <c r="C1" s="2" t="s">
        <v>36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80</v>
      </c>
      <c r="Z1" s="2" t="s">
        <v>81</v>
      </c>
      <c r="AA1" s="2" t="s">
        <v>82</v>
      </c>
      <c r="AB1" s="2" t="s">
        <v>83</v>
      </c>
      <c r="AC1" s="3" t="s">
        <v>84</v>
      </c>
    </row>
    <row r="2" spans="1:29">
      <c r="A2" s="5">
        <v>1</v>
      </c>
      <c r="B2" s="5" t="s">
        <v>46</v>
      </c>
      <c r="C2" s="5" t="s">
        <v>47</v>
      </c>
      <c r="D2" s="5" t="s">
        <v>85</v>
      </c>
      <c r="E2" s="5">
        <v>1</v>
      </c>
      <c r="F2" s="5" t="s">
        <v>86</v>
      </c>
      <c r="G2" s="81">
        <v>100</v>
      </c>
      <c r="H2" s="81">
        <v>97.62</v>
      </c>
      <c r="I2" s="81">
        <v>98.8</v>
      </c>
      <c r="J2" s="82">
        <f t="shared" ref="J2:J65" si="0">IF(OR(G2="",H2="",G2+H2=0),"",2*G2*H2/(G2+H2))</f>
        <v>98.7956684546099</v>
      </c>
      <c r="K2" s="11">
        <f t="shared" ref="K2:K65" si="1">IF(OR(I2="",J2=""),"",J2-I2)</f>
        <v>-0.00433154539014424</v>
      </c>
      <c r="L2" s="5">
        <v>1</v>
      </c>
      <c r="M2" s="5">
        <v>57</v>
      </c>
      <c r="N2" s="5">
        <v>42</v>
      </c>
      <c r="O2" s="5">
        <v>65</v>
      </c>
      <c r="P2" s="5">
        <v>41</v>
      </c>
      <c r="Q2" s="5">
        <v>41</v>
      </c>
      <c r="R2" s="5">
        <v>24</v>
      </c>
      <c r="S2" s="5">
        <v>0</v>
      </c>
      <c r="T2" s="5">
        <v>24</v>
      </c>
      <c r="U2" s="5">
        <v>1</v>
      </c>
      <c r="V2" s="81">
        <v>100</v>
      </c>
      <c r="W2" s="81">
        <v>98.8</v>
      </c>
      <c r="X2" s="81">
        <v>63.08</v>
      </c>
      <c r="Y2" s="81">
        <v>76.64</v>
      </c>
      <c r="Z2" s="5" t="s">
        <v>87</v>
      </c>
      <c r="AA2" s="5" t="s">
        <v>88</v>
      </c>
      <c r="AB2" s="5" t="s">
        <v>89</v>
      </c>
      <c r="AC2" s="5" t="s">
        <v>90</v>
      </c>
    </row>
    <row r="3" spans="1:29">
      <c r="A3" s="5">
        <v>1</v>
      </c>
      <c r="B3" s="5" t="s">
        <v>46</v>
      </c>
      <c r="C3" s="5" t="s">
        <v>47</v>
      </c>
      <c r="D3" s="5" t="s">
        <v>85</v>
      </c>
      <c r="E3" s="5">
        <v>2</v>
      </c>
      <c r="F3" s="5" t="s">
        <v>91</v>
      </c>
      <c r="G3" s="81">
        <v>100</v>
      </c>
      <c r="H3" s="81">
        <v>90</v>
      </c>
      <c r="I3" s="81">
        <v>94.74</v>
      </c>
      <c r="J3" s="82">
        <f t="shared" si="0"/>
        <v>94.7368421052632</v>
      </c>
      <c r="K3" s="11">
        <f t="shared" si="1"/>
        <v>-0.00315789473683026</v>
      </c>
      <c r="L3" s="5">
        <v>1</v>
      </c>
      <c r="M3" s="5">
        <v>113</v>
      </c>
      <c r="N3" s="5">
        <v>50</v>
      </c>
      <c r="O3" s="5">
        <v>64</v>
      </c>
      <c r="P3" s="5">
        <v>45</v>
      </c>
      <c r="Q3" s="5">
        <v>45</v>
      </c>
      <c r="R3" s="5">
        <v>19</v>
      </c>
      <c r="S3" s="5">
        <v>0</v>
      </c>
      <c r="T3" s="5">
        <v>19</v>
      </c>
      <c r="U3" s="5">
        <v>5</v>
      </c>
      <c r="V3" s="81">
        <v>100</v>
      </c>
      <c r="W3" s="81">
        <v>94.74</v>
      </c>
      <c r="X3" s="81">
        <v>70.31</v>
      </c>
      <c r="Y3" s="81">
        <v>78.95</v>
      </c>
      <c r="Z3" s="5" t="s">
        <v>87</v>
      </c>
      <c r="AA3" s="5" t="s">
        <v>88</v>
      </c>
      <c r="AB3" s="5" t="s">
        <v>89</v>
      </c>
      <c r="AC3" s="5" t="s">
        <v>92</v>
      </c>
    </row>
    <row r="4" spans="1:29">
      <c r="A4" s="5">
        <v>1</v>
      </c>
      <c r="B4" s="5" t="s">
        <v>46</v>
      </c>
      <c r="C4" s="5" t="s">
        <v>47</v>
      </c>
      <c r="D4" s="5" t="s">
        <v>85</v>
      </c>
      <c r="E4" s="5">
        <v>3</v>
      </c>
      <c r="F4" s="5" t="s">
        <v>93</v>
      </c>
      <c r="G4" s="81">
        <v>100</v>
      </c>
      <c r="H4" s="81">
        <v>71.43</v>
      </c>
      <c r="I4" s="81">
        <v>83.33</v>
      </c>
      <c r="J4" s="82">
        <f t="shared" si="0"/>
        <v>83.3343055474538</v>
      </c>
      <c r="K4" s="11">
        <f t="shared" si="1"/>
        <v>0.00430554745378231</v>
      </c>
      <c r="L4" s="5">
        <v>1</v>
      </c>
      <c r="M4" s="5">
        <v>67</v>
      </c>
      <c r="N4" s="5">
        <v>42</v>
      </c>
      <c r="O4" s="5">
        <v>55</v>
      </c>
      <c r="P4" s="5">
        <v>30</v>
      </c>
      <c r="Q4" s="5">
        <v>30</v>
      </c>
      <c r="R4" s="5">
        <v>25</v>
      </c>
      <c r="S4" s="5">
        <v>0</v>
      </c>
      <c r="T4" s="5">
        <v>25</v>
      </c>
      <c r="U4" s="5">
        <v>12</v>
      </c>
      <c r="V4" s="81">
        <v>100</v>
      </c>
      <c r="W4" s="81">
        <v>83.33</v>
      </c>
      <c r="X4" s="81">
        <v>54.55</v>
      </c>
      <c r="Y4" s="81">
        <v>61.86</v>
      </c>
      <c r="Z4" s="5" t="s">
        <v>87</v>
      </c>
      <c r="AA4" s="5" t="s">
        <v>88</v>
      </c>
      <c r="AB4" s="5" t="s">
        <v>89</v>
      </c>
      <c r="AC4" s="5" t="s">
        <v>94</v>
      </c>
    </row>
    <row r="5" spans="1:29">
      <c r="A5" s="5">
        <v>1</v>
      </c>
      <c r="B5" s="5" t="s">
        <v>46</v>
      </c>
      <c r="C5" s="5" t="s">
        <v>47</v>
      </c>
      <c r="D5" s="5" t="s">
        <v>85</v>
      </c>
      <c r="E5" s="5">
        <v>4</v>
      </c>
      <c r="F5" s="5" t="s">
        <v>95</v>
      </c>
      <c r="G5" s="81">
        <v>100</v>
      </c>
      <c r="H5" s="81">
        <v>66.67</v>
      </c>
      <c r="I5" s="81">
        <v>80</v>
      </c>
      <c r="J5" s="82">
        <f t="shared" si="0"/>
        <v>80.002399952001</v>
      </c>
      <c r="K5" s="11">
        <f t="shared" si="1"/>
        <v>0.00239995200095677</v>
      </c>
      <c r="L5" s="5">
        <v>2</v>
      </c>
      <c r="M5" s="5">
        <v>19</v>
      </c>
      <c r="N5" s="5">
        <v>9</v>
      </c>
      <c r="O5" s="5">
        <v>108</v>
      </c>
      <c r="P5" s="5">
        <v>6</v>
      </c>
      <c r="Q5" s="5">
        <v>6</v>
      </c>
      <c r="R5" s="5">
        <v>102</v>
      </c>
      <c r="S5" s="5">
        <v>0</v>
      </c>
      <c r="T5" s="5">
        <v>102</v>
      </c>
      <c r="U5" s="5">
        <v>3</v>
      </c>
      <c r="V5" s="81">
        <v>100</v>
      </c>
      <c r="W5" s="81">
        <v>80</v>
      </c>
      <c r="X5" s="81">
        <v>5.56</v>
      </c>
      <c r="Y5" s="81">
        <v>10.26</v>
      </c>
      <c r="Z5" s="5" t="s">
        <v>87</v>
      </c>
      <c r="AA5" s="5" t="s">
        <v>88</v>
      </c>
      <c r="AB5" s="5" t="s">
        <v>89</v>
      </c>
      <c r="AC5" s="5" t="s">
        <v>96</v>
      </c>
    </row>
    <row r="6" spans="1:29">
      <c r="A6" s="5">
        <v>1</v>
      </c>
      <c r="B6" s="5" t="s">
        <v>46</v>
      </c>
      <c r="C6" s="5" t="s">
        <v>47</v>
      </c>
      <c r="D6" s="5" t="s">
        <v>85</v>
      </c>
      <c r="E6" s="5">
        <v>5</v>
      </c>
      <c r="F6" s="5" t="s">
        <v>97</v>
      </c>
      <c r="G6" s="81">
        <v>100</v>
      </c>
      <c r="H6" s="81">
        <v>90.91</v>
      </c>
      <c r="I6" s="81">
        <v>95.24</v>
      </c>
      <c r="J6" s="82">
        <f t="shared" si="0"/>
        <v>95.2385941019328</v>
      </c>
      <c r="K6" s="11">
        <f t="shared" si="1"/>
        <v>-0.00140589806714786</v>
      </c>
      <c r="L6" s="5">
        <v>1</v>
      </c>
      <c r="M6" s="5">
        <v>66</v>
      </c>
      <c r="N6" s="5">
        <v>22</v>
      </c>
      <c r="O6" s="5">
        <v>35</v>
      </c>
      <c r="P6" s="5">
        <v>20</v>
      </c>
      <c r="Q6" s="5">
        <v>20</v>
      </c>
      <c r="R6" s="5">
        <v>15</v>
      </c>
      <c r="S6" s="5">
        <v>0</v>
      </c>
      <c r="T6" s="5">
        <v>15</v>
      </c>
      <c r="U6" s="5">
        <v>2</v>
      </c>
      <c r="V6" s="81">
        <v>100</v>
      </c>
      <c r="W6" s="81">
        <v>95.24</v>
      </c>
      <c r="X6" s="81">
        <v>57.14</v>
      </c>
      <c r="Y6" s="81">
        <v>70.18</v>
      </c>
      <c r="Z6" s="5" t="s">
        <v>87</v>
      </c>
      <c r="AA6" s="5" t="s">
        <v>88</v>
      </c>
      <c r="AB6" s="5" t="s">
        <v>89</v>
      </c>
      <c r="AC6" s="5" t="s">
        <v>98</v>
      </c>
    </row>
    <row r="7" spans="1:29">
      <c r="A7" s="5">
        <v>1</v>
      </c>
      <c r="B7" s="5" t="s">
        <v>46</v>
      </c>
      <c r="C7" s="5" t="s">
        <v>47</v>
      </c>
      <c r="D7" s="5" t="s">
        <v>85</v>
      </c>
      <c r="E7" s="5">
        <v>6</v>
      </c>
      <c r="F7" s="5" t="s">
        <v>99</v>
      </c>
      <c r="G7" s="81">
        <v>100</v>
      </c>
      <c r="H7" s="81">
        <v>91.07</v>
      </c>
      <c r="I7" s="81">
        <v>95.33</v>
      </c>
      <c r="J7" s="82">
        <f t="shared" si="0"/>
        <v>95.3263201967865</v>
      </c>
      <c r="K7" s="11">
        <f t="shared" si="1"/>
        <v>-0.00367980321347261</v>
      </c>
      <c r="L7" s="5">
        <v>1</v>
      </c>
      <c r="M7" s="5">
        <v>128</v>
      </c>
      <c r="N7" s="5">
        <v>56</v>
      </c>
      <c r="O7" s="5">
        <v>64</v>
      </c>
      <c r="P7" s="5">
        <v>51</v>
      </c>
      <c r="Q7" s="5">
        <v>51</v>
      </c>
      <c r="R7" s="5">
        <v>13</v>
      </c>
      <c r="S7" s="5">
        <v>0</v>
      </c>
      <c r="T7" s="5">
        <v>13</v>
      </c>
      <c r="U7" s="5">
        <v>5</v>
      </c>
      <c r="V7" s="81">
        <v>100</v>
      </c>
      <c r="W7" s="81">
        <v>95.33</v>
      </c>
      <c r="X7" s="81">
        <v>79.69</v>
      </c>
      <c r="Y7" s="81">
        <v>85</v>
      </c>
      <c r="Z7" s="5" t="s">
        <v>87</v>
      </c>
      <c r="AA7" s="5" t="s">
        <v>88</v>
      </c>
      <c r="AB7" s="5" t="s">
        <v>89</v>
      </c>
      <c r="AC7" s="5" t="s">
        <v>100</v>
      </c>
    </row>
    <row r="8" spans="1:29">
      <c r="A8" s="5">
        <v>1</v>
      </c>
      <c r="B8" s="5" t="s">
        <v>46</v>
      </c>
      <c r="C8" s="5" t="s">
        <v>47</v>
      </c>
      <c r="D8" s="5" t="s">
        <v>85</v>
      </c>
      <c r="E8" s="5">
        <v>9</v>
      </c>
      <c r="F8" s="5" t="s">
        <v>101</v>
      </c>
      <c r="G8" s="81">
        <v>100</v>
      </c>
      <c r="H8" s="81">
        <v>84.85</v>
      </c>
      <c r="I8" s="81">
        <v>91.8</v>
      </c>
      <c r="J8" s="82">
        <f t="shared" si="0"/>
        <v>91.8041655396267</v>
      </c>
      <c r="K8" s="11">
        <f t="shared" si="1"/>
        <v>0.00416553962672594</v>
      </c>
      <c r="L8" s="5">
        <v>1</v>
      </c>
      <c r="M8" s="5">
        <v>155</v>
      </c>
      <c r="N8" s="5">
        <v>66</v>
      </c>
      <c r="O8" s="5">
        <v>62</v>
      </c>
      <c r="P8" s="5">
        <v>56</v>
      </c>
      <c r="Q8" s="5">
        <v>56</v>
      </c>
      <c r="R8" s="5">
        <v>6</v>
      </c>
      <c r="S8" s="5">
        <v>0</v>
      </c>
      <c r="T8" s="5">
        <v>6</v>
      </c>
      <c r="U8" s="5">
        <v>10</v>
      </c>
      <c r="V8" s="81">
        <v>100</v>
      </c>
      <c r="W8" s="81">
        <v>91.8</v>
      </c>
      <c r="X8" s="81">
        <v>90.32</v>
      </c>
      <c r="Y8" s="81">
        <v>87.5</v>
      </c>
      <c r="Z8" s="5" t="s">
        <v>87</v>
      </c>
      <c r="AA8" s="5" t="s">
        <v>88</v>
      </c>
      <c r="AB8" s="5" t="s">
        <v>89</v>
      </c>
      <c r="AC8" s="5" t="s">
        <v>102</v>
      </c>
    </row>
    <row r="9" spans="1:29">
      <c r="A9" s="5">
        <v>1</v>
      </c>
      <c r="B9" s="5" t="s">
        <v>46</v>
      </c>
      <c r="C9" s="5" t="s">
        <v>47</v>
      </c>
      <c r="D9" s="5" t="s">
        <v>85</v>
      </c>
      <c r="E9" s="5">
        <v>11</v>
      </c>
      <c r="F9" s="5" t="s">
        <v>103</v>
      </c>
      <c r="G9" s="81">
        <v>100</v>
      </c>
      <c r="H9" s="81">
        <v>66.67</v>
      </c>
      <c r="I9" s="81">
        <v>80</v>
      </c>
      <c r="J9" s="82">
        <f t="shared" si="0"/>
        <v>80.002399952001</v>
      </c>
      <c r="K9" s="11">
        <f t="shared" si="1"/>
        <v>0.00239995200095677</v>
      </c>
      <c r="L9" s="5">
        <v>1</v>
      </c>
      <c r="M9" s="5">
        <v>60</v>
      </c>
      <c r="N9" s="5">
        <v>15</v>
      </c>
      <c r="O9" s="5">
        <v>34</v>
      </c>
      <c r="P9" s="5">
        <v>10</v>
      </c>
      <c r="Q9" s="5">
        <v>10</v>
      </c>
      <c r="R9" s="5">
        <v>24</v>
      </c>
      <c r="S9" s="5">
        <v>0</v>
      </c>
      <c r="T9" s="5">
        <v>24</v>
      </c>
      <c r="U9" s="5">
        <v>5</v>
      </c>
      <c r="V9" s="81">
        <v>100</v>
      </c>
      <c r="W9" s="81">
        <v>80</v>
      </c>
      <c r="X9" s="81">
        <v>29.41</v>
      </c>
      <c r="Y9" s="81">
        <v>40.82</v>
      </c>
      <c r="Z9" s="5" t="s">
        <v>87</v>
      </c>
      <c r="AA9" s="5" t="s">
        <v>88</v>
      </c>
      <c r="AB9" s="5" t="s">
        <v>89</v>
      </c>
      <c r="AC9" s="5" t="s">
        <v>104</v>
      </c>
    </row>
    <row r="10" spans="1:29">
      <c r="A10" s="5">
        <v>1</v>
      </c>
      <c r="B10" s="5" t="s">
        <v>46</v>
      </c>
      <c r="C10" s="5" t="s">
        <v>47</v>
      </c>
      <c r="D10" s="5" t="s">
        <v>85</v>
      </c>
      <c r="E10" s="5">
        <v>20</v>
      </c>
      <c r="F10" s="5" t="s">
        <v>105</v>
      </c>
      <c r="G10" s="81">
        <v>100</v>
      </c>
      <c r="H10" s="81">
        <v>89.39</v>
      </c>
      <c r="I10" s="81">
        <v>94.4</v>
      </c>
      <c r="J10" s="82">
        <f t="shared" si="0"/>
        <v>94.3978034743123</v>
      </c>
      <c r="K10" s="11">
        <f t="shared" si="1"/>
        <v>-0.00219652568773654</v>
      </c>
      <c r="L10" s="5">
        <v>1</v>
      </c>
      <c r="M10" s="5">
        <v>133</v>
      </c>
      <c r="N10" s="5">
        <v>66</v>
      </c>
      <c r="O10" s="5">
        <v>69</v>
      </c>
      <c r="P10" s="5">
        <v>59</v>
      </c>
      <c r="Q10" s="5">
        <v>59</v>
      </c>
      <c r="R10" s="5">
        <v>10</v>
      </c>
      <c r="S10" s="5">
        <v>0</v>
      </c>
      <c r="T10" s="5">
        <v>10</v>
      </c>
      <c r="U10" s="5">
        <v>7</v>
      </c>
      <c r="V10" s="81">
        <v>100</v>
      </c>
      <c r="W10" s="81">
        <v>94.4</v>
      </c>
      <c r="X10" s="81">
        <v>85.51</v>
      </c>
      <c r="Y10" s="81">
        <v>87.41</v>
      </c>
      <c r="Z10" s="5" t="s">
        <v>87</v>
      </c>
      <c r="AA10" s="5" t="s">
        <v>88</v>
      </c>
      <c r="AB10" s="5" t="s">
        <v>89</v>
      </c>
      <c r="AC10" s="5" t="s">
        <v>106</v>
      </c>
    </row>
    <row r="11" spans="1:29">
      <c r="A11" s="5">
        <v>1</v>
      </c>
      <c r="B11" s="5" t="s">
        <v>46</v>
      </c>
      <c r="C11" s="5" t="s">
        <v>47</v>
      </c>
      <c r="D11" s="5" t="s">
        <v>85</v>
      </c>
      <c r="E11" s="5">
        <v>22</v>
      </c>
      <c r="F11" s="5" t="s">
        <v>107</v>
      </c>
      <c r="G11" s="81">
        <v>100</v>
      </c>
      <c r="H11" s="81">
        <v>91.67</v>
      </c>
      <c r="I11" s="81">
        <v>95.65</v>
      </c>
      <c r="J11" s="82">
        <f t="shared" si="0"/>
        <v>95.6539886262848</v>
      </c>
      <c r="K11" s="11">
        <f t="shared" si="1"/>
        <v>0.00398862628475172</v>
      </c>
      <c r="L11" s="5">
        <v>1</v>
      </c>
      <c r="M11" s="5">
        <v>53</v>
      </c>
      <c r="N11" s="5">
        <v>24</v>
      </c>
      <c r="O11" s="5">
        <v>35</v>
      </c>
      <c r="P11" s="5">
        <v>22</v>
      </c>
      <c r="Q11" s="5">
        <v>22</v>
      </c>
      <c r="R11" s="5">
        <v>13</v>
      </c>
      <c r="S11" s="5">
        <v>0</v>
      </c>
      <c r="T11" s="5">
        <v>13</v>
      </c>
      <c r="U11" s="5">
        <v>2</v>
      </c>
      <c r="V11" s="81">
        <v>100</v>
      </c>
      <c r="W11" s="81">
        <v>95.65</v>
      </c>
      <c r="X11" s="81">
        <v>62.86</v>
      </c>
      <c r="Y11" s="81">
        <v>74.58</v>
      </c>
      <c r="Z11" s="5" t="s">
        <v>87</v>
      </c>
      <c r="AA11" s="5" t="s">
        <v>88</v>
      </c>
      <c r="AB11" s="5" t="s">
        <v>89</v>
      </c>
      <c r="AC11" s="5" t="s">
        <v>108</v>
      </c>
    </row>
    <row r="12" spans="1:29">
      <c r="A12" s="5">
        <v>1</v>
      </c>
      <c r="B12" s="5" t="s">
        <v>46</v>
      </c>
      <c r="C12" s="5" t="s">
        <v>47</v>
      </c>
      <c r="D12" s="5" t="s">
        <v>85</v>
      </c>
      <c r="E12" s="5">
        <v>26</v>
      </c>
      <c r="F12" s="5" t="s">
        <v>109</v>
      </c>
      <c r="G12" s="81">
        <v>100</v>
      </c>
      <c r="H12" s="81">
        <v>77.78</v>
      </c>
      <c r="I12" s="81">
        <v>87.5</v>
      </c>
      <c r="J12" s="82">
        <f t="shared" si="0"/>
        <v>87.5014062324221</v>
      </c>
      <c r="K12" s="11">
        <f t="shared" si="1"/>
        <v>0.0014062324220987</v>
      </c>
      <c r="L12" s="5">
        <v>1</v>
      </c>
      <c r="M12" s="5">
        <v>136</v>
      </c>
      <c r="N12" s="5">
        <v>72</v>
      </c>
      <c r="O12" s="5">
        <v>82</v>
      </c>
      <c r="P12" s="5">
        <v>56</v>
      </c>
      <c r="Q12" s="5">
        <v>56</v>
      </c>
      <c r="R12" s="5">
        <v>26</v>
      </c>
      <c r="S12" s="5">
        <v>0</v>
      </c>
      <c r="T12" s="5">
        <v>26</v>
      </c>
      <c r="U12" s="5">
        <v>16</v>
      </c>
      <c r="V12" s="81">
        <v>100</v>
      </c>
      <c r="W12" s="81">
        <v>87.5</v>
      </c>
      <c r="X12" s="81">
        <v>68.29</v>
      </c>
      <c r="Y12" s="81">
        <v>72.73</v>
      </c>
      <c r="Z12" s="5" t="s">
        <v>87</v>
      </c>
      <c r="AA12" s="5" t="s">
        <v>88</v>
      </c>
      <c r="AB12" s="5" t="s">
        <v>89</v>
      </c>
      <c r="AC12" s="5" t="s">
        <v>110</v>
      </c>
    </row>
    <row r="13" spans="1:29">
      <c r="A13" s="5">
        <v>1</v>
      </c>
      <c r="B13" s="5" t="s">
        <v>46</v>
      </c>
      <c r="C13" s="5" t="s">
        <v>47</v>
      </c>
      <c r="D13" s="5" t="s">
        <v>85</v>
      </c>
      <c r="E13" s="5">
        <v>44</v>
      </c>
      <c r="F13" s="5" t="s">
        <v>111</v>
      </c>
      <c r="G13" s="81">
        <v>98.72</v>
      </c>
      <c r="H13" s="81">
        <v>92.77</v>
      </c>
      <c r="I13" s="81">
        <v>95.65</v>
      </c>
      <c r="J13" s="82">
        <f t="shared" si="0"/>
        <v>95.6525604470207</v>
      </c>
      <c r="K13" s="11">
        <f t="shared" si="1"/>
        <v>0.002560447020727</v>
      </c>
      <c r="L13" s="5">
        <v>1</v>
      </c>
      <c r="M13" s="5">
        <v>137</v>
      </c>
      <c r="N13" s="5">
        <v>83</v>
      </c>
      <c r="O13" s="5">
        <v>93</v>
      </c>
      <c r="P13" s="5">
        <v>78</v>
      </c>
      <c r="Q13" s="5">
        <v>77</v>
      </c>
      <c r="R13" s="5">
        <v>16</v>
      </c>
      <c r="S13" s="5">
        <v>1</v>
      </c>
      <c r="T13" s="5">
        <v>15</v>
      </c>
      <c r="U13" s="5">
        <v>6</v>
      </c>
      <c r="V13" s="81">
        <v>98.72</v>
      </c>
      <c r="W13" s="81">
        <v>95.65</v>
      </c>
      <c r="X13" s="81">
        <v>82.8</v>
      </c>
      <c r="Y13" s="81">
        <v>87.5</v>
      </c>
      <c r="Z13" s="5" t="s">
        <v>87</v>
      </c>
      <c r="AA13" s="5" t="s">
        <v>88</v>
      </c>
      <c r="AB13" s="5" t="s">
        <v>89</v>
      </c>
      <c r="AC13" s="5" t="s">
        <v>112</v>
      </c>
    </row>
    <row r="14" spans="1:29">
      <c r="A14" s="5">
        <v>1</v>
      </c>
      <c r="B14" s="5" t="s">
        <v>46</v>
      </c>
      <c r="C14" s="5" t="s">
        <v>47</v>
      </c>
      <c r="D14" s="5" t="s">
        <v>85</v>
      </c>
      <c r="E14" s="5">
        <v>53</v>
      </c>
      <c r="F14" s="5" t="s">
        <v>113</v>
      </c>
      <c r="G14" s="81">
        <v>88.57</v>
      </c>
      <c r="H14" s="81">
        <v>77.5</v>
      </c>
      <c r="I14" s="81">
        <v>82.67</v>
      </c>
      <c r="J14" s="82">
        <f t="shared" si="0"/>
        <v>82.6660444390919</v>
      </c>
      <c r="K14" s="11">
        <f t="shared" si="1"/>
        <v>-0.00395556090805371</v>
      </c>
      <c r="L14" s="5">
        <v>1</v>
      </c>
      <c r="M14" s="5">
        <v>84</v>
      </c>
      <c r="N14" s="5">
        <v>40</v>
      </c>
      <c r="O14" s="5">
        <v>49</v>
      </c>
      <c r="P14" s="5">
        <v>35</v>
      </c>
      <c r="Q14" s="5">
        <v>31</v>
      </c>
      <c r="R14" s="5">
        <v>18</v>
      </c>
      <c r="S14" s="5">
        <v>4</v>
      </c>
      <c r="T14" s="5">
        <v>14</v>
      </c>
      <c r="U14" s="5">
        <v>9</v>
      </c>
      <c r="V14" s="81">
        <v>88.57</v>
      </c>
      <c r="W14" s="81">
        <v>82.67</v>
      </c>
      <c r="X14" s="81">
        <v>63.27</v>
      </c>
      <c r="Y14" s="81">
        <v>69.66</v>
      </c>
      <c r="Z14" s="5" t="s">
        <v>87</v>
      </c>
      <c r="AA14" s="5" t="s">
        <v>88</v>
      </c>
      <c r="AB14" s="5" t="s">
        <v>89</v>
      </c>
      <c r="AC14" s="5" t="s">
        <v>114</v>
      </c>
    </row>
    <row r="15" spans="1:29">
      <c r="A15" s="5">
        <v>1</v>
      </c>
      <c r="B15" s="5" t="s">
        <v>46</v>
      </c>
      <c r="C15" s="5" t="s">
        <v>47</v>
      </c>
      <c r="D15" s="5" t="s">
        <v>85</v>
      </c>
      <c r="E15" s="5">
        <v>145</v>
      </c>
      <c r="F15" s="5" t="s">
        <v>115</v>
      </c>
      <c r="G15" s="81">
        <v>100</v>
      </c>
      <c r="H15" s="81">
        <v>92.31</v>
      </c>
      <c r="I15" s="81">
        <v>96</v>
      </c>
      <c r="J15" s="82">
        <f t="shared" si="0"/>
        <v>96.0012479850242</v>
      </c>
      <c r="K15" s="11">
        <f t="shared" si="1"/>
        <v>0.00124798502417889</v>
      </c>
      <c r="L15" s="5">
        <v>1</v>
      </c>
      <c r="M15" s="5">
        <v>64</v>
      </c>
      <c r="N15" s="5">
        <v>26</v>
      </c>
      <c r="O15" s="5">
        <v>59</v>
      </c>
      <c r="P15" s="5">
        <v>24</v>
      </c>
      <c r="Q15" s="5">
        <v>24</v>
      </c>
      <c r="R15" s="5">
        <v>35</v>
      </c>
      <c r="S15" s="5">
        <v>0</v>
      </c>
      <c r="T15" s="5">
        <v>35</v>
      </c>
      <c r="U15" s="5">
        <v>2</v>
      </c>
      <c r="V15" s="81">
        <v>100</v>
      </c>
      <c r="W15" s="81">
        <v>96</v>
      </c>
      <c r="X15" s="81">
        <v>40.68</v>
      </c>
      <c r="Y15" s="81">
        <v>56.47</v>
      </c>
      <c r="Z15" s="5" t="s">
        <v>87</v>
      </c>
      <c r="AA15" s="5" t="s">
        <v>88</v>
      </c>
      <c r="AB15" s="5" t="s">
        <v>89</v>
      </c>
      <c r="AC15" s="5" t="s">
        <v>116</v>
      </c>
    </row>
    <row r="16" spans="1:29">
      <c r="A16" s="5">
        <v>1</v>
      </c>
      <c r="B16" s="5" t="s">
        <v>46</v>
      </c>
      <c r="C16" s="5" t="s">
        <v>47</v>
      </c>
      <c r="D16" s="5" t="s">
        <v>85</v>
      </c>
      <c r="E16" s="5">
        <v>147</v>
      </c>
      <c r="F16" s="5" t="s">
        <v>117</v>
      </c>
      <c r="G16" s="81">
        <v>96.23</v>
      </c>
      <c r="H16" s="81">
        <v>91.07</v>
      </c>
      <c r="I16" s="81">
        <v>93.58</v>
      </c>
      <c r="J16" s="82">
        <f t="shared" si="0"/>
        <v>93.5789225840897</v>
      </c>
      <c r="K16" s="11">
        <f t="shared" si="1"/>
        <v>-0.00107741591030219</v>
      </c>
      <c r="L16" s="5">
        <v>1</v>
      </c>
      <c r="M16" s="5">
        <v>90</v>
      </c>
      <c r="N16" s="5">
        <v>56</v>
      </c>
      <c r="O16" s="5">
        <v>79</v>
      </c>
      <c r="P16" s="5">
        <v>53</v>
      </c>
      <c r="Q16" s="5">
        <v>51</v>
      </c>
      <c r="R16" s="5">
        <v>28</v>
      </c>
      <c r="S16" s="5">
        <v>2</v>
      </c>
      <c r="T16" s="5">
        <v>26</v>
      </c>
      <c r="U16" s="5">
        <v>5</v>
      </c>
      <c r="V16" s="81">
        <v>96.23</v>
      </c>
      <c r="W16" s="81">
        <v>93.58</v>
      </c>
      <c r="X16" s="81">
        <v>64.56</v>
      </c>
      <c r="Y16" s="81">
        <v>75.56</v>
      </c>
      <c r="Z16" s="5" t="s">
        <v>87</v>
      </c>
      <c r="AA16" s="5" t="s">
        <v>88</v>
      </c>
      <c r="AB16" s="5" t="s">
        <v>89</v>
      </c>
      <c r="AC16" s="5" t="s">
        <v>118</v>
      </c>
    </row>
    <row r="17" spans="1:29">
      <c r="A17" s="5">
        <v>1</v>
      </c>
      <c r="B17" s="5" t="s">
        <v>46</v>
      </c>
      <c r="C17" s="5" t="s">
        <v>47</v>
      </c>
      <c r="D17" s="5" t="s">
        <v>85</v>
      </c>
      <c r="E17" s="5">
        <v>454</v>
      </c>
      <c r="F17" s="5" t="s">
        <v>119</v>
      </c>
      <c r="G17" s="81">
        <v>100</v>
      </c>
      <c r="H17" s="81">
        <v>66.67</v>
      </c>
      <c r="I17" s="81">
        <v>80</v>
      </c>
      <c r="J17" s="82">
        <f t="shared" si="0"/>
        <v>80.002399952001</v>
      </c>
      <c r="K17" s="11">
        <f t="shared" si="1"/>
        <v>0.00239995200095677</v>
      </c>
      <c r="L17" s="5">
        <v>1</v>
      </c>
      <c r="M17" s="5">
        <v>26</v>
      </c>
      <c r="N17" s="5">
        <v>6</v>
      </c>
      <c r="O17" s="5">
        <v>4</v>
      </c>
      <c r="P17" s="5">
        <v>4</v>
      </c>
      <c r="Q17" s="5">
        <v>4</v>
      </c>
      <c r="R17" s="5">
        <v>0</v>
      </c>
      <c r="S17" s="5">
        <v>0</v>
      </c>
      <c r="T17" s="5">
        <v>0</v>
      </c>
      <c r="U17" s="5">
        <v>2</v>
      </c>
      <c r="V17" s="81">
        <v>100</v>
      </c>
      <c r="W17" s="81">
        <v>80</v>
      </c>
      <c r="X17" s="81">
        <v>100</v>
      </c>
      <c r="Y17" s="81">
        <v>80</v>
      </c>
      <c r="Z17" s="5" t="s">
        <v>87</v>
      </c>
      <c r="AA17" s="5" t="s">
        <v>88</v>
      </c>
      <c r="AB17" s="5" t="s">
        <v>89</v>
      </c>
      <c r="AC17" s="5" t="s">
        <v>120</v>
      </c>
    </row>
    <row r="18" spans="1:29">
      <c r="A18" s="5">
        <v>1</v>
      </c>
      <c r="B18" s="5" t="s">
        <v>46</v>
      </c>
      <c r="C18" s="5" t="s">
        <v>47</v>
      </c>
      <c r="D18" s="5" t="s">
        <v>85</v>
      </c>
      <c r="E18" s="5">
        <v>482</v>
      </c>
      <c r="F18" s="5" t="s">
        <v>121</v>
      </c>
      <c r="G18" s="81">
        <v>100</v>
      </c>
      <c r="H18" s="81">
        <v>90</v>
      </c>
      <c r="I18" s="81">
        <v>94.74</v>
      </c>
      <c r="J18" s="82">
        <f t="shared" si="0"/>
        <v>94.7368421052632</v>
      </c>
      <c r="K18" s="11">
        <f t="shared" si="1"/>
        <v>-0.00315789473683026</v>
      </c>
      <c r="L18" s="5">
        <v>2</v>
      </c>
      <c r="M18" s="5">
        <v>16</v>
      </c>
      <c r="N18" s="5">
        <v>10</v>
      </c>
      <c r="O18" s="5">
        <v>10</v>
      </c>
      <c r="P18" s="5">
        <v>9</v>
      </c>
      <c r="Q18" s="5">
        <v>9</v>
      </c>
      <c r="R18" s="5">
        <v>1</v>
      </c>
      <c r="S18" s="5">
        <v>0</v>
      </c>
      <c r="T18" s="5">
        <v>1</v>
      </c>
      <c r="U18" s="5">
        <v>1</v>
      </c>
      <c r="V18" s="81">
        <v>100</v>
      </c>
      <c r="W18" s="81">
        <v>94.74</v>
      </c>
      <c r="X18" s="81">
        <v>90</v>
      </c>
      <c r="Y18" s="81">
        <v>90</v>
      </c>
      <c r="Z18" s="5" t="s">
        <v>87</v>
      </c>
      <c r="AA18" s="5" t="s">
        <v>88</v>
      </c>
      <c r="AB18" s="5" t="s">
        <v>89</v>
      </c>
      <c r="AC18" s="5" t="s">
        <v>122</v>
      </c>
    </row>
    <row r="19" spans="1:29">
      <c r="A19" s="5">
        <v>1</v>
      </c>
      <c r="B19" s="5" t="s">
        <v>46</v>
      </c>
      <c r="C19" s="5" t="s">
        <v>47</v>
      </c>
      <c r="D19" s="5" t="s">
        <v>85</v>
      </c>
      <c r="E19" s="5">
        <v>1053</v>
      </c>
      <c r="F19" s="5" t="s">
        <v>123</v>
      </c>
      <c r="G19" s="81">
        <v>100</v>
      </c>
      <c r="H19" s="81">
        <v>66.67</v>
      </c>
      <c r="I19" s="81">
        <v>80</v>
      </c>
      <c r="J19" s="82">
        <f t="shared" si="0"/>
        <v>80.002399952001</v>
      </c>
      <c r="K19" s="11">
        <f t="shared" si="1"/>
        <v>0.00239995200095677</v>
      </c>
      <c r="L19" s="5">
        <v>1</v>
      </c>
      <c r="M19" s="5">
        <v>37</v>
      </c>
      <c r="N19" s="5">
        <v>3</v>
      </c>
      <c r="O19" s="5">
        <v>14</v>
      </c>
      <c r="P19" s="5">
        <v>2</v>
      </c>
      <c r="Q19" s="5">
        <v>2</v>
      </c>
      <c r="R19" s="5">
        <v>12</v>
      </c>
      <c r="S19" s="5">
        <v>0</v>
      </c>
      <c r="T19" s="5">
        <v>12</v>
      </c>
      <c r="U19" s="5">
        <v>1</v>
      </c>
      <c r="V19" s="81">
        <v>100</v>
      </c>
      <c r="W19" s="81">
        <v>80</v>
      </c>
      <c r="X19" s="81">
        <v>14.29</v>
      </c>
      <c r="Y19" s="81">
        <v>23.53</v>
      </c>
      <c r="Z19" s="5" t="s">
        <v>87</v>
      </c>
      <c r="AA19" s="5" t="s">
        <v>88</v>
      </c>
      <c r="AB19" s="5" t="s">
        <v>89</v>
      </c>
      <c r="AC19" s="5" t="s">
        <v>124</v>
      </c>
    </row>
    <row r="20" spans="1:29">
      <c r="A20" s="5">
        <v>1</v>
      </c>
      <c r="B20" s="5" t="s">
        <v>46</v>
      </c>
      <c r="C20" s="5" t="s">
        <v>47</v>
      </c>
      <c r="D20" s="5" t="s">
        <v>85</v>
      </c>
      <c r="E20" s="5">
        <v>1083</v>
      </c>
      <c r="F20" s="5" t="s">
        <v>125</v>
      </c>
      <c r="G20" s="81">
        <v>100</v>
      </c>
      <c r="H20" s="81">
        <v>96.97</v>
      </c>
      <c r="I20" s="81">
        <v>98.46</v>
      </c>
      <c r="J20" s="82">
        <f t="shared" si="0"/>
        <v>98.4616946743159</v>
      </c>
      <c r="K20" s="11">
        <f t="shared" si="1"/>
        <v>0.00169467431588544</v>
      </c>
      <c r="L20" s="5">
        <v>1</v>
      </c>
      <c r="M20" s="5">
        <v>46</v>
      </c>
      <c r="N20" s="5">
        <v>33</v>
      </c>
      <c r="O20" s="5">
        <v>36</v>
      </c>
      <c r="P20" s="5">
        <v>32</v>
      </c>
      <c r="Q20" s="5">
        <v>32</v>
      </c>
      <c r="R20" s="5">
        <v>4</v>
      </c>
      <c r="S20" s="5">
        <v>0</v>
      </c>
      <c r="T20" s="5">
        <v>4</v>
      </c>
      <c r="U20" s="5">
        <v>1</v>
      </c>
      <c r="V20" s="81">
        <v>100</v>
      </c>
      <c r="W20" s="81">
        <v>98.46</v>
      </c>
      <c r="X20" s="81">
        <v>88.89</v>
      </c>
      <c r="Y20" s="81">
        <v>92.75</v>
      </c>
      <c r="Z20" s="5" t="s">
        <v>87</v>
      </c>
      <c r="AA20" s="5" t="s">
        <v>88</v>
      </c>
      <c r="AB20" s="5" t="s">
        <v>89</v>
      </c>
      <c r="AC20" s="5" t="s">
        <v>126</v>
      </c>
    </row>
    <row r="21" spans="1:29">
      <c r="A21" s="5">
        <v>1</v>
      </c>
      <c r="B21" s="5" t="s">
        <v>46</v>
      </c>
      <c r="C21" s="5" t="s">
        <v>47</v>
      </c>
      <c r="D21" s="5" t="s">
        <v>85</v>
      </c>
      <c r="E21" s="5">
        <v>1491</v>
      </c>
      <c r="F21" s="5" t="s">
        <v>127</v>
      </c>
      <c r="G21" s="81">
        <v>83.33</v>
      </c>
      <c r="H21" s="81">
        <v>83.33</v>
      </c>
      <c r="I21" s="81">
        <v>83.33</v>
      </c>
      <c r="J21" s="82">
        <f t="shared" si="0"/>
        <v>83.33</v>
      </c>
      <c r="K21" s="11">
        <f t="shared" si="1"/>
        <v>0</v>
      </c>
      <c r="L21" s="5">
        <v>2</v>
      </c>
      <c r="M21" s="5">
        <v>19</v>
      </c>
      <c r="N21" s="5">
        <v>12</v>
      </c>
      <c r="O21" s="5">
        <v>19</v>
      </c>
      <c r="P21" s="5">
        <v>12</v>
      </c>
      <c r="Q21" s="5">
        <v>10</v>
      </c>
      <c r="R21" s="5">
        <v>9</v>
      </c>
      <c r="S21" s="5">
        <v>2</v>
      </c>
      <c r="T21" s="5">
        <v>7</v>
      </c>
      <c r="U21" s="5">
        <v>2</v>
      </c>
      <c r="V21" s="81">
        <v>83.33</v>
      </c>
      <c r="W21" s="81">
        <v>83.33</v>
      </c>
      <c r="X21" s="81">
        <v>52.63</v>
      </c>
      <c r="Y21" s="81">
        <v>64.52</v>
      </c>
      <c r="Z21" s="5" t="s">
        <v>87</v>
      </c>
      <c r="AA21" s="5" t="s">
        <v>88</v>
      </c>
      <c r="AB21" s="5" t="s">
        <v>89</v>
      </c>
      <c r="AC21" s="5" t="s">
        <v>128</v>
      </c>
    </row>
    <row r="22" spans="1:29">
      <c r="A22" s="5">
        <v>2</v>
      </c>
      <c r="B22" s="5" t="s">
        <v>48</v>
      </c>
      <c r="C22" s="5" t="s">
        <v>49</v>
      </c>
      <c r="D22" s="5" t="s">
        <v>129</v>
      </c>
      <c r="E22" s="5">
        <v>1</v>
      </c>
      <c r="F22" s="5" t="s">
        <v>86</v>
      </c>
      <c r="G22" s="81">
        <v>100</v>
      </c>
      <c r="H22" s="81">
        <v>78.57</v>
      </c>
      <c r="I22" s="81">
        <v>88</v>
      </c>
      <c r="J22" s="82">
        <f t="shared" si="0"/>
        <v>87.9991039928319</v>
      </c>
      <c r="K22" s="11">
        <f t="shared" si="1"/>
        <v>-0.000896007168066149</v>
      </c>
      <c r="L22" s="5">
        <v>2</v>
      </c>
      <c r="M22" s="5">
        <v>57</v>
      </c>
      <c r="N22" s="5">
        <v>42</v>
      </c>
      <c r="O22" s="5">
        <v>66</v>
      </c>
      <c r="P22" s="5">
        <v>33</v>
      </c>
      <c r="Q22" s="5">
        <v>33</v>
      </c>
      <c r="R22" s="5">
        <v>33</v>
      </c>
      <c r="S22" s="5">
        <v>0</v>
      </c>
      <c r="T22" s="5">
        <v>33</v>
      </c>
      <c r="U22" s="5">
        <v>9</v>
      </c>
      <c r="V22" s="81">
        <v>100</v>
      </c>
      <c r="W22" s="81">
        <v>88</v>
      </c>
      <c r="X22" s="81">
        <v>50</v>
      </c>
      <c r="Y22" s="81">
        <v>61.11</v>
      </c>
      <c r="Z22" s="5" t="s">
        <v>130</v>
      </c>
      <c r="AA22" s="5" t="s">
        <v>88</v>
      </c>
      <c r="AB22" s="5" t="s">
        <v>89</v>
      </c>
      <c r="AC22" s="5" t="s">
        <v>131</v>
      </c>
    </row>
    <row r="23" spans="1:29">
      <c r="A23" s="5">
        <v>2</v>
      </c>
      <c r="B23" s="5" t="s">
        <v>48</v>
      </c>
      <c r="C23" s="5" t="s">
        <v>49</v>
      </c>
      <c r="D23" s="5" t="s">
        <v>129</v>
      </c>
      <c r="E23" s="5">
        <v>2</v>
      </c>
      <c r="F23" s="5" t="s">
        <v>91</v>
      </c>
      <c r="G23" s="81">
        <v>100</v>
      </c>
      <c r="H23" s="81">
        <v>30</v>
      </c>
      <c r="I23" s="81">
        <v>46.15</v>
      </c>
      <c r="J23" s="82">
        <f t="shared" si="0"/>
        <v>46.1538461538462</v>
      </c>
      <c r="K23" s="11">
        <f t="shared" si="1"/>
        <v>0.00384615384615472</v>
      </c>
      <c r="L23" s="5">
        <v>4</v>
      </c>
      <c r="M23" s="5">
        <v>113</v>
      </c>
      <c r="N23" s="5">
        <v>50</v>
      </c>
      <c r="O23" s="5">
        <v>51</v>
      </c>
      <c r="P23" s="5">
        <v>15</v>
      </c>
      <c r="Q23" s="5">
        <v>15</v>
      </c>
      <c r="R23" s="5">
        <v>36</v>
      </c>
      <c r="S23" s="5">
        <v>0</v>
      </c>
      <c r="T23" s="5">
        <v>36</v>
      </c>
      <c r="U23" s="5">
        <v>35</v>
      </c>
      <c r="V23" s="81">
        <v>100</v>
      </c>
      <c r="W23" s="81">
        <v>46.15</v>
      </c>
      <c r="X23" s="81">
        <v>29.41</v>
      </c>
      <c r="Y23" s="81">
        <v>29.7</v>
      </c>
      <c r="Z23" s="5" t="s">
        <v>130</v>
      </c>
      <c r="AA23" s="5" t="s">
        <v>88</v>
      </c>
      <c r="AB23" s="5" t="s">
        <v>89</v>
      </c>
      <c r="AC23" s="5" t="s">
        <v>132</v>
      </c>
    </row>
    <row r="24" spans="1:29">
      <c r="A24" s="5">
        <v>2</v>
      </c>
      <c r="B24" s="5" t="s">
        <v>48</v>
      </c>
      <c r="C24" s="5" t="s">
        <v>49</v>
      </c>
      <c r="D24" s="5" t="s">
        <v>129</v>
      </c>
      <c r="E24" s="5">
        <v>3</v>
      </c>
      <c r="F24" s="5" t="s">
        <v>93</v>
      </c>
      <c r="G24" s="81">
        <v>90.62</v>
      </c>
      <c r="H24" s="81">
        <v>69.05</v>
      </c>
      <c r="I24" s="81">
        <v>78.38</v>
      </c>
      <c r="J24" s="82">
        <f t="shared" si="0"/>
        <v>78.3780422120624</v>
      </c>
      <c r="K24" s="11">
        <f t="shared" si="1"/>
        <v>-0.00195778793762713</v>
      </c>
      <c r="L24" s="5">
        <v>3</v>
      </c>
      <c r="M24" s="5">
        <v>67</v>
      </c>
      <c r="N24" s="5">
        <v>42</v>
      </c>
      <c r="O24" s="5">
        <v>132</v>
      </c>
      <c r="P24" s="5">
        <v>32</v>
      </c>
      <c r="Q24" s="5">
        <v>29</v>
      </c>
      <c r="R24" s="5">
        <v>103</v>
      </c>
      <c r="S24" s="5">
        <v>3</v>
      </c>
      <c r="T24" s="5">
        <v>100</v>
      </c>
      <c r="U24" s="5">
        <v>13</v>
      </c>
      <c r="V24" s="81">
        <v>90.62</v>
      </c>
      <c r="W24" s="81">
        <v>78.38</v>
      </c>
      <c r="X24" s="81">
        <v>21.97</v>
      </c>
      <c r="Y24" s="81">
        <v>33.33</v>
      </c>
      <c r="Z24" s="5" t="s">
        <v>130</v>
      </c>
      <c r="AA24" s="5" t="s">
        <v>88</v>
      </c>
      <c r="AB24" s="5" t="s">
        <v>89</v>
      </c>
      <c r="AC24" s="5" t="s">
        <v>133</v>
      </c>
    </row>
    <row r="25" spans="1:29">
      <c r="A25" s="5">
        <v>2</v>
      </c>
      <c r="B25" s="5" t="s">
        <v>48</v>
      </c>
      <c r="C25" s="5" t="s">
        <v>49</v>
      </c>
      <c r="D25" s="5" t="s">
        <v>129</v>
      </c>
      <c r="E25" s="5">
        <v>4</v>
      </c>
      <c r="F25" s="5" t="s">
        <v>95</v>
      </c>
      <c r="G25" s="81">
        <v>100</v>
      </c>
      <c r="H25" s="81">
        <v>44.44</v>
      </c>
      <c r="I25" s="81">
        <v>61.54</v>
      </c>
      <c r="J25" s="82">
        <f t="shared" si="0"/>
        <v>61.5342010523401</v>
      </c>
      <c r="K25" s="11">
        <f t="shared" si="1"/>
        <v>-0.00579894765992606</v>
      </c>
      <c r="L25" s="5">
        <v>1</v>
      </c>
      <c r="M25" s="5">
        <v>19</v>
      </c>
      <c r="N25" s="5">
        <v>9</v>
      </c>
      <c r="O25" s="5">
        <v>51</v>
      </c>
      <c r="P25" s="5">
        <v>4</v>
      </c>
      <c r="Q25" s="5">
        <v>4</v>
      </c>
      <c r="R25" s="5">
        <v>47</v>
      </c>
      <c r="S25" s="5">
        <v>0</v>
      </c>
      <c r="T25" s="5">
        <v>47</v>
      </c>
      <c r="U25" s="5">
        <v>5</v>
      </c>
      <c r="V25" s="81">
        <v>100</v>
      </c>
      <c r="W25" s="81">
        <v>61.54</v>
      </c>
      <c r="X25" s="81">
        <v>7.84</v>
      </c>
      <c r="Y25" s="81">
        <v>13.33</v>
      </c>
      <c r="Z25" s="5" t="s">
        <v>130</v>
      </c>
      <c r="AA25" s="5" t="s">
        <v>88</v>
      </c>
      <c r="AB25" s="5" t="s">
        <v>89</v>
      </c>
      <c r="AC25" s="5" t="s">
        <v>134</v>
      </c>
    </row>
    <row r="26" spans="1:29">
      <c r="A26" s="5">
        <v>2</v>
      </c>
      <c r="B26" s="5" t="s">
        <v>48</v>
      </c>
      <c r="C26" s="5" t="s">
        <v>49</v>
      </c>
      <c r="D26" s="5" t="s">
        <v>129</v>
      </c>
      <c r="E26" s="5">
        <v>5</v>
      </c>
      <c r="F26" s="5" t="s">
        <v>97</v>
      </c>
      <c r="G26" s="81">
        <v>95.45</v>
      </c>
      <c r="H26" s="81">
        <v>95.45</v>
      </c>
      <c r="I26" s="81">
        <v>95.45</v>
      </c>
      <c r="J26" s="82">
        <f t="shared" si="0"/>
        <v>95.45</v>
      </c>
      <c r="K26" s="11">
        <f t="shared" si="1"/>
        <v>0</v>
      </c>
      <c r="L26" s="5">
        <v>4</v>
      </c>
      <c r="M26" s="5">
        <v>66</v>
      </c>
      <c r="N26" s="5">
        <v>22</v>
      </c>
      <c r="O26" s="5">
        <v>96</v>
      </c>
      <c r="P26" s="5">
        <v>22</v>
      </c>
      <c r="Q26" s="5">
        <v>21</v>
      </c>
      <c r="R26" s="5">
        <v>75</v>
      </c>
      <c r="S26" s="5">
        <v>1</v>
      </c>
      <c r="T26" s="5">
        <v>74</v>
      </c>
      <c r="U26" s="5">
        <v>1</v>
      </c>
      <c r="V26" s="81">
        <v>95.45</v>
      </c>
      <c r="W26" s="81">
        <v>95.45</v>
      </c>
      <c r="X26" s="81">
        <v>21.88</v>
      </c>
      <c r="Y26" s="81">
        <v>35.59</v>
      </c>
      <c r="Z26" s="5" t="s">
        <v>130</v>
      </c>
      <c r="AA26" s="5" t="s">
        <v>88</v>
      </c>
      <c r="AB26" s="5" t="s">
        <v>89</v>
      </c>
      <c r="AC26" s="5" t="s">
        <v>135</v>
      </c>
    </row>
    <row r="27" spans="1:29">
      <c r="A27" s="5">
        <v>2</v>
      </c>
      <c r="B27" s="5" t="s">
        <v>48</v>
      </c>
      <c r="C27" s="5" t="s">
        <v>49</v>
      </c>
      <c r="D27" s="5" t="s">
        <v>129</v>
      </c>
      <c r="E27" s="5">
        <v>6</v>
      </c>
      <c r="F27" s="5" t="s">
        <v>99</v>
      </c>
      <c r="G27" s="81">
        <v>98.15</v>
      </c>
      <c r="H27" s="81">
        <v>94.64</v>
      </c>
      <c r="I27" s="81">
        <v>96.36</v>
      </c>
      <c r="J27" s="82">
        <f t="shared" si="0"/>
        <v>96.3630478759272</v>
      </c>
      <c r="K27" s="11">
        <f t="shared" si="1"/>
        <v>0.00304787592718014</v>
      </c>
      <c r="L27" s="5">
        <v>2</v>
      </c>
      <c r="M27" s="5">
        <v>128</v>
      </c>
      <c r="N27" s="5">
        <v>56</v>
      </c>
      <c r="O27" s="5">
        <v>92</v>
      </c>
      <c r="P27" s="5">
        <v>54</v>
      </c>
      <c r="Q27" s="5">
        <v>53</v>
      </c>
      <c r="R27" s="5">
        <v>39</v>
      </c>
      <c r="S27" s="5">
        <v>1</v>
      </c>
      <c r="T27" s="5">
        <v>38</v>
      </c>
      <c r="U27" s="5">
        <v>3</v>
      </c>
      <c r="V27" s="81">
        <v>98.15</v>
      </c>
      <c r="W27" s="81">
        <v>96.36</v>
      </c>
      <c r="X27" s="81">
        <v>57.61</v>
      </c>
      <c r="Y27" s="81">
        <v>71.62</v>
      </c>
      <c r="Z27" s="5" t="s">
        <v>130</v>
      </c>
      <c r="AA27" s="5" t="s">
        <v>88</v>
      </c>
      <c r="AB27" s="5" t="s">
        <v>89</v>
      </c>
      <c r="AC27" s="5" t="s">
        <v>136</v>
      </c>
    </row>
    <row r="28" spans="1:29">
      <c r="A28" s="5">
        <v>2</v>
      </c>
      <c r="B28" s="5" t="s">
        <v>48</v>
      </c>
      <c r="C28" s="5" t="s">
        <v>49</v>
      </c>
      <c r="D28" s="5" t="s">
        <v>129</v>
      </c>
      <c r="E28" s="5">
        <v>9</v>
      </c>
      <c r="F28" s="5" t="s">
        <v>101</v>
      </c>
      <c r="G28" s="81">
        <v>98.25</v>
      </c>
      <c r="H28" s="81">
        <v>84.85</v>
      </c>
      <c r="I28" s="81">
        <v>91.06</v>
      </c>
      <c r="J28" s="82">
        <f t="shared" si="0"/>
        <v>91.0596668487165</v>
      </c>
      <c r="K28" s="11">
        <f t="shared" si="1"/>
        <v>-0.000333151283456345</v>
      </c>
      <c r="L28" s="5">
        <v>2</v>
      </c>
      <c r="M28" s="5">
        <v>155</v>
      </c>
      <c r="N28" s="5">
        <v>66</v>
      </c>
      <c r="O28" s="5">
        <v>137</v>
      </c>
      <c r="P28" s="5">
        <v>57</v>
      </c>
      <c r="Q28" s="5">
        <v>56</v>
      </c>
      <c r="R28" s="5">
        <v>81</v>
      </c>
      <c r="S28" s="5">
        <v>1</v>
      </c>
      <c r="T28" s="5">
        <v>80</v>
      </c>
      <c r="U28" s="5">
        <v>10</v>
      </c>
      <c r="V28" s="81">
        <v>98.25</v>
      </c>
      <c r="W28" s="81">
        <v>91.06</v>
      </c>
      <c r="X28" s="81">
        <v>40.88</v>
      </c>
      <c r="Y28" s="81">
        <v>55.17</v>
      </c>
      <c r="Z28" s="5" t="s">
        <v>130</v>
      </c>
      <c r="AA28" s="5" t="s">
        <v>88</v>
      </c>
      <c r="AB28" s="5" t="s">
        <v>89</v>
      </c>
      <c r="AC28" s="5" t="s">
        <v>137</v>
      </c>
    </row>
    <row r="29" spans="1:29">
      <c r="A29" s="5">
        <v>2</v>
      </c>
      <c r="B29" s="5" t="s">
        <v>48</v>
      </c>
      <c r="C29" s="5" t="s">
        <v>49</v>
      </c>
      <c r="D29" s="5" t="s">
        <v>129</v>
      </c>
      <c r="E29" s="5">
        <v>11</v>
      </c>
      <c r="F29" s="5" t="s">
        <v>103</v>
      </c>
      <c r="G29" s="81">
        <v>100</v>
      </c>
      <c r="H29" s="81">
        <v>66.67</v>
      </c>
      <c r="I29" s="81">
        <v>80</v>
      </c>
      <c r="J29" s="82">
        <f t="shared" si="0"/>
        <v>80.002399952001</v>
      </c>
      <c r="K29" s="11">
        <f t="shared" si="1"/>
        <v>0.00239995200095677</v>
      </c>
      <c r="L29" s="5">
        <v>6</v>
      </c>
      <c r="M29" s="5">
        <v>60</v>
      </c>
      <c r="N29" s="5">
        <v>15</v>
      </c>
      <c r="O29" s="5">
        <v>79</v>
      </c>
      <c r="P29" s="5">
        <v>10</v>
      </c>
      <c r="Q29" s="5">
        <v>10</v>
      </c>
      <c r="R29" s="5">
        <v>69</v>
      </c>
      <c r="S29" s="5">
        <v>0</v>
      </c>
      <c r="T29" s="5">
        <v>69</v>
      </c>
      <c r="U29" s="5">
        <v>5</v>
      </c>
      <c r="V29" s="81">
        <v>100</v>
      </c>
      <c r="W29" s="81">
        <v>80</v>
      </c>
      <c r="X29" s="81">
        <v>12.66</v>
      </c>
      <c r="Y29" s="81">
        <v>21.28</v>
      </c>
      <c r="Z29" s="5" t="s">
        <v>130</v>
      </c>
      <c r="AA29" s="5" t="s">
        <v>88</v>
      </c>
      <c r="AB29" s="5" t="s">
        <v>89</v>
      </c>
      <c r="AC29" s="5" t="s">
        <v>138</v>
      </c>
    </row>
    <row r="30" spans="1:29">
      <c r="A30" s="5">
        <v>2</v>
      </c>
      <c r="B30" s="5" t="s">
        <v>48</v>
      </c>
      <c r="C30" s="5" t="s">
        <v>49</v>
      </c>
      <c r="D30" s="5" t="s">
        <v>129</v>
      </c>
      <c r="E30" s="5">
        <v>20</v>
      </c>
      <c r="F30" s="5" t="s">
        <v>105</v>
      </c>
      <c r="G30" s="81">
        <v>93.94</v>
      </c>
      <c r="H30" s="81">
        <v>46.97</v>
      </c>
      <c r="I30" s="81">
        <v>62.63</v>
      </c>
      <c r="J30" s="82">
        <f t="shared" si="0"/>
        <v>62.6266666666667</v>
      </c>
      <c r="K30" s="11">
        <f t="shared" si="1"/>
        <v>-0.00333333333333741</v>
      </c>
      <c r="L30" s="5">
        <v>2</v>
      </c>
      <c r="M30" s="5">
        <v>133</v>
      </c>
      <c r="N30" s="5">
        <v>66</v>
      </c>
      <c r="O30" s="5">
        <v>114</v>
      </c>
      <c r="P30" s="5">
        <v>33</v>
      </c>
      <c r="Q30" s="5">
        <v>31</v>
      </c>
      <c r="R30" s="5">
        <v>83</v>
      </c>
      <c r="S30" s="5">
        <v>2</v>
      </c>
      <c r="T30" s="5">
        <v>81</v>
      </c>
      <c r="U30" s="5">
        <v>35</v>
      </c>
      <c r="V30" s="81">
        <v>93.94</v>
      </c>
      <c r="W30" s="81">
        <v>62.63</v>
      </c>
      <c r="X30" s="81">
        <v>27.19</v>
      </c>
      <c r="Y30" s="81">
        <v>34.44</v>
      </c>
      <c r="Z30" s="5" t="s">
        <v>130</v>
      </c>
      <c r="AA30" s="5" t="s">
        <v>88</v>
      </c>
      <c r="AB30" s="5" t="s">
        <v>89</v>
      </c>
      <c r="AC30" s="5" t="s">
        <v>139</v>
      </c>
    </row>
    <row r="31" spans="1:29">
      <c r="A31" s="5">
        <v>2</v>
      </c>
      <c r="B31" s="5" t="s">
        <v>48</v>
      </c>
      <c r="C31" s="5" t="s">
        <v>49</v>
      </c>
      <c r="D31" s="5" t="s">
        <v>129</v>
      </c>
      <c r="E31" s="5">
        <v>22</v>
      </c>
      <c r="F31" s="5" t="s">
        <v>107</v>
      </c>
      <c r="G31" s="81">
        <v>95.45</v>
      </c>
      <c r="H31" s="81">
        <v>87.5</v>
      </c>
      <c r="I31" s="81">
        <v>91.3</v>
      </c>
      <c r="J31" s="82">
        <f t="shared" si="0"/>
        <v>91.3022683793386</v>
      </c>
      <c r="K31" s="11">
        <f t="shared" si="1"/>
        <v>0.00226837933863067</v>
      </c>
      <c r="L31" s="5">
        <v>3</v>
      </c>
      <c r="M31" s="5">
        <v>53</v>
      </c>
      <c r="N31" s="5">
        <v>24</v>
      </c>
      <c r="O31" s="5">
        <v>122</v>
      </c>
      <c r="P31" s="5">
        <v>22</v>
      </c>
      <c r="Q31" s="5">
        <v>21</v>
      </c>
      <c r="R31" s="5">
        <v>101</v>
      </c>
      <c r="S31" s="5">
        <v>1</v>
      </c>
      <c r="T31" s="5">
        <v>100</v>
      </c>
      <c r="U31" s="5">
        <v>3</v>
      </c>
      <c r="V31" s="81">
        <v>95.45</v>
      </c>
      <c r="W31" s="81">
        <v>91.3</v>
      </c>
      <c r="X31" s="81">
        <v>17.21</v>
      </c>
      <c r="Y31" s="81">
        <v>28.77</v>
      </c>
      <c r="Z31" s="5" t="s">
        <v>130</v>
      </c>
      <c r="AA31" s="5" t="s">
        <v>88</v>
      </c>
      <c r="AB31" s="5" t="s">
        <v>89</v>
      </c>
      <c r="AC31" s="5" t="s">
        <v>140</v>
      </c>
    </row>
    <row r="32" spans="1:29">
      <c r="A32" s="5">
        <v>2</v>
      </c>
      <c r="B32" s="5" t="s">
        <v>48</v>
      </c>
      <c r="C32" s="5" t="s">
        <v>49</v>
      </c>
      <c r="D32" s="5" t="s">
        <v>129</v>
      </c>
      <c r="E32" s="5">
        <v>26</v>
      </c>
      <c r="F32" s="5" t="s">
        <v>109</v>
      </c>
      <c r="G32" s="81">
        <v>100</v>
      </c>
      <c r="H32" s="81">
        <v>40.28</v>
      </c>
      <c r="I32" s="81">
        <v>57.43</v>
      </c>
      <c r="J32" s="82">
        <f t="shared" si="0"/>
        <v>57.428001140576</v>
      </c>
      <c r="K32" s="11">
        <f t="shared" si="1"/>
        <v>-0.00199885942400613</v>
      </c>
      <c r="L32" s="5">
        <v>3</v>
      </c>
      <c r="M32" s="5">
        <v>136</v>
      </c>
      <c r="N32" s="5">
        <v>72</v>
      </c>
      <c r="O32" s="5">
        <v>105</v>
      </c>
      <c r="P32" s="5">
        <v>29</v>
      </c>
      <c r="Q32" s="5">
        <v>29</v>
      </c>
      <c r="R32" s="5">
        <v>76</v>
      </c>
      <c r="S32" s="5">
        <v>0</v>
      </c>
      <c r="T32" s="5">
        <v>76</v>
      </c>
      <c r="U32" s="5">
        <v>43</v>
      </c>
      <c r="V32" s="81">
        <v>100</v>
      </c>
      <c r="W32" s="81">
        <v>57.43</v>
      </c>
      <c r="X32" s="81">
        <v>27.62</v>
      </c>
      <c r="Y32" s="81">
        <v>32.77</v>
      </c>
      <c r="Z32" s="5" t="s">
        <v>130</v>
      </c>
      <c r="AA32" s="5" t="s">
        <v>88</v>
      </c>
      <c r="AB32" s="5" t="s">
        <v>89</v>
      </c>
      <c r="AC32" s="5" t="s">
        <v>141</v>
      </c>
    </row>
    <row r="33" spans="1:29">
      <c r="A33" s="5">
        <v>2</v>
      </c>
      <c r="B33" s="5" t="s">
        <v>48</v>
      </c>
      <c r="C33" s="5" t="s">
        <v>49</v>
      </c>
      <c r="D33" s="5" t="s">
        <v>129</v>
      </c>
      <c r="E33" s="5">
        <v>44</v>
      </c>
      <c r="F33" s="5" t="s">
        <v>111</v>
      </c>
      <c r="G33" s="81">
        <v>97.3</v>
      </c>
      <c r="H33" s="81">
        <v>43.37</v>
      </c>
      <c r="I33" s="81">
        <v>60</v>
      </c>
      <c r="J33" s="82">
        <f t="shared" si="0"/>
        <v>59.9971706831592</v>
      </c>
      <c r="K33" s="11">
        <f t="shared" si="1"/>
        <v>-0.0028293168408311</v>
      </c>
      <c r="L33" s="5">
        <v>5</v>
      </c>
      <c r="M33" s="5">
        <v>137</v>
      </c>
      <c r="N33" s="5">
        <v>83</v>
      </c>
      <c r="O33" s="5">
        <v>80</v>
      </c>
      <c r="P33" s="5">
        <v>37</v>
      </c>
      <c r="Q33" s="5">
        <v>36</v>
      </c>
      <c r="R33" s="5">
        <v>44</v>
      </c>
      <c r="S33" s="5">
        <v>1</v>
      </c>
      <c r="T33" s="5">
        <v>43</v>
      </c>
      <c r="U33" s="5">
        <v>47</v>
      </c>
      <c r="V33" s="81">
        <v>97.3</v>
      </c>
      <c r="W33" s="81">
        <v>60</v>
      </c>
      <c r="X33" s="81">
        <v>45</v>
      </c>
      <c r="Y33" s="81">
        <v>44.17</v>
      </c>
      <c r="Z33" s="5" t="s">
        <v>130</v>
      </c>
      <c r="AA33" s="5" t="s">
        <v>88</v>
      </c>
      <c r="AB33" s="5" t="s">
        <v>89</v>
      </c>
      <c r="AC33" s="5" t="s">
        <v>142</v>
      </c>
    </row>
    <row r="34" spans="1:29">
      <c r="A34" s="5">
        <v>2</v>
      </c>
      <c r="B34" s="5" t="s">
        <v>48</v>
      </c>
      <c r="C34" s="5" t="s">
        <v>49</v>
      </c>
      <c r="D34" s="5" t="s">
        <v>129</v>
      </c>
      <c r="E34" s="5">
        <v>53</v>
      </c>
      <c r="F34" s="5" t="s">
        <v>113</v>
      </c>
      <c r="G34" s="81">
        <v>85.71</v>
      </c>
      <c r="H34" s="81">
        <v>75</v>
      </c>
      <c r="I34" s="81">
        <v>80</v>
      </c>
      <c r="J34" s="82">
        <f t="shared" si="0"/>
        <v>79.9981332835542</v>
      </c>
      <c r="K34" s="11">
        <f t="shared" si="1"/>
        <v>-0.0018667164457753</v>
      </c>
      <c r="L34" s="5">
        <v>3</v>
      </c>
      <c r="M34" s="5">
        <v>84</v>
      </c>
      <c r="N34" s="5">
        <v>40</v>
      </c>
      <c r="O34" s="5">
        <v>101</v>
      </c>
      <c r="P34" s="5">
        <v>35</v>
      </c>
      <c r="Q34" s="5">
        <v>30</v>
      </c>
      <c r="R34" s="5">
        <v>71</v>
      </c>
      <c r="S34" s="5">
        <v>5</v>
      </c>
      <c r="T34" s="5">
        <v>66</v>
      </c>
      <c r="U34" s="5">
        <v>10</v>
      </c>
      <c r="V34" s="81">
        <v>85.71</v>
      </c>
      <c r="W34" s="81">
        <v>80</v>
      </c>
      <c r="X34" s="81">
        <v>29.7</v>
      </c>
      <c r="Y34" s="81">
        <v>42.55</v>
      </c>
      <c r="Z34" s="5" t="s">
        <v>130</v>
      </c>
      <c r="AA34" s="5" t="s">
        <v>88</v>
      </c>
      <c r="AB34" s="5" t="s">
        <v>89</v>
      </c>
      <c r="AC34" s="5" t="s">
        <v>143</v>
      </c>
    </row>
    <row r="35" spans="1:29">
      <c r="A35" s="5">
        <v>2</v>
      </c>
      <c r="B35" s="5" t="s">
        <v>48</v>
      </c>
      <c r="C35" s="5" t="s">
        <v>49</v>
      </c>
      <c r="D35" s="5" t="s">
        <v>129</v>
      </c>
      <c r="E35" s="5">
        <v>145</v>
      </c>
      <c r="F35" s="5" t="s">
        <v>115</v>
      </c>
      <c r="G35" s="81">
        <v>84.62</v>
      </c>
      <c r="H35" s="81">
        <v>84.62</v>
      </c>
      <c r="I35" s="81">
        <v>84.62</v>
      </c>
      <c r="J35" s="82">
        <f t="shared" si="0"/>
        <v>84.62</v>
      </c>
      <c r="K35" s="11">
        <f t="shared" si="1"/>
        <v>0</v>
      </c>
      <c r="L35" s="5">
        <v>3</v>
      </c>
      <c r="M35" s="5">
        <v>64</v>
      </c>
      <c r="N35" s="5">
        <v>26</v>
      </c>
      <c r="O35" s="5">
        <v>138</v>
      </c>
      <c r="P35" s="5">
        <v>26</v>
      </c>
      <c r="Q35" s="5">
        <v>22</v>
      </c>
      <c r="R35" s="5">
        <v>116</v>
      </c>
      <c r="S35" s="5">
        <v>4</v>
      </c>
      <c r="T35" s="5">
        <v>112</v>
      </c>
      <c r="U35" s="5">
        <v>4</v>
      </c>
      <c r="V35" s="81">
        <v>84.62</v>
      </c>
      <c r="W35" s="81">
        <v>84.62</v>
      </c>
      <c r="X35" s="81">
        <v>15.94</v>
      </c>
      <c r="Y35" s="81">
        <v>26.83</v>
      </c>
      <c r="Z35" s="5" t="s">
        <v>130</v>
      </c>
      <c r="AA35" s="5" t="s">
        <v>88</v>
      </c>
      <c r="AB35" s="5" t="s">
        <v>89</v>
      </c>
      <c r="AC35" s="5" t="s">
        <v>144</v>
      </c>
    </row>
    <row r="36" spans="1:29">
      <c r="A36" s="5">
        <v>2</v>
      </c>
      <c r="B36" s="5" t="s">
        <v>48</v>
      </c>
      <c r="C36" s="5" t="s">
        <v>49</v>
      </c>
      <c r="D36" s="5" t="s">
        <v>129</v>
      </c>
      <c r="E36" s="5">
        <v>147</v>
      </c>
      <c r="F36" s="5" t="s">
        <v>117</v>
      </c>
      <c r="G36" s="81">
        <v>98</v>
      </c>
      <c r="H36" s="81">
        <v>87.5</v>
      </c>
      <c r="I36" s="81">
        <v>92.45</v>
      </c>
      <c r="J36" s="82">
        <f t="shared" si="0"/>
        <v>92.4528301886792</v>
      </c>
      <c r="K36" s="11">
        <f t="shared" si="1"/>
        <v>0.00283018867924056</v>
      </c>
      <c r="L36" s="5">
        <v>2</v>
      </c>
      <c r="M36" s="5">
        <v>90</v>
      </c>
      <c r="N36" s="5">
        <v>56</v>
      </c>
      <c r="O36" s="5">
        <v>93</v>
      </c>
      <c r="P36" s="5">
        <v>50</v>
      </c>
      <c r="Q36" s="5">
        <v>49</v>
      </c>
      <c r="R36" s="5">
        <v>44</v>
      </c>
      <c r="S36" s="5">
        <v>1</v>
      </c>
      <c r="T36" s="5">
        <v>43</v>
      </c>
      <c r="U36" s="5">
        <v>7</v>
      </c>
      <c r="V36" s="81">
        <v>98</v>
      </c>
      <c r="W36" s="81">
        <v>92.45</v>
      </c>
      <c r="X36" s="81">
        <v>52.69</v>
      </c>
      <c r="Y36" s="81">
        <v>65.77</v>
      </c>
      <c r="Z36" s="5" t="s">
        <v>130</v>
      </c>
      <c r="AA36" s="5" t="s">
        <v>88</v>
      </c>
      <c r="AB36" s="5" t="s">
        <v>89</v>
      </c>
      <c r="AC36" s="5" t="s">
        <v>145</v>
      </c>
    </row>
    <row r="37" spans="1:29">
      <c r="A37" s="5">
        <v>2</v>
      </c>
      <c r="B37" s="5" t="s">
        <v>48</v>
      </c>
      <c r="C37" s="5" t="s">
        <v>49</v>
      </c>
      <c r="D37" s="5" t="s">
        <v>129</v>
      </c>
      <c r="E37" s="5">
        <v>454</v>
      </c>
      <c r="F37" s="5" t="s">
        <v>119</v>
      </c>
      <c r="G37" s="81">
        <v>100</v>
      </c>
      <c r="H37" s="81">
        <v>100</v>
      </c>
      <c r="I37" s="81">
        <v>100</v>
      </c>
      <c r="J37" s="82">
        <f t="shared" si="0"/>
        <v>100</v>
      </c>
      <c r="K37" s="11">
        <f t="shared" si="1"/>
        <v>0</v>
      </c>
      <c r="L37" s="5">
        <v>2</v>
      </c>
      <c r="M37" s="5">
        <v>26</v>
      </c>
      <c r="N37" s="5">
        <v>6</v>
      </c>
      <c r="O37" s="5">
        <v>9</v>
      </c>
      <c r="P37" s="5">
        <v>6</v>
      </c>
      <c r="Q37" s="5">
        <v>6</v>
      </c>
      <c r="R37" s="5">
        <v>3</v>
      </c>
      <c r="S37" s="5">
        <v>0</v>
      </c>
      <c r="T37" s="5">
        <v>3</v>
      </c>
      <c r="U37" s="5">
        <v>0</v>
      </c>
      <c r="V37" s="81">
        <v>100</v>
      </c>
      <c r="W37" s="81">
        <v>100</v>
      </c>
      <c r="X37" s="81">
        <v>66.67</v>
      </c>
      <c r="Y37" s="81">
        <v>80</v>
      </c>
      <c r="Z37" s="5" t="s">
        <v>130</v>
      </c>
      <c r="AA37" s="5" t="s">
        <v>88</v>
      </c>
      <c r="AB37" s="5" t="s">
        <v>89</v>
      </c>
      <c r="AC37" s="5" t="s">
        <v>146</v>
      </c>
    </row>
    <row r="38" spans="1:29">
      <c r="A38" s="5">
        <v>2</v>
      </c>
      <c r="B38" s="5" t="s">
        <v>48</v>
      </c>
      <c r="C38" s="5" t="s">
        <v>49</v>
      </c>
      <c r="D38" s="5" t="s">
        <v>129</v>
      </c>
      <c r="E38" s="5">
        <v>482</v>
      </c>
      <c r="F38" s="5" t="s">
        <v>121</v>
      </c>
      <c r="G38" s="81">
        <v>100</v>
      </c>
      <c r="H38" s="81">
        <v>90</v>
      </c>
      <c r="I38" s="81">
        <v>94.74</v>
      </c>
      <c r="J38" s="82">
        <f t="shared" si="0"/>
        <v>94.7368421052632</v>
      </c>
      <c r="K38" s="11">
        <f t="shared" si="1"/>
        <v>-0.00315789473683026</v>
      </c>
      <c r="L38" s="5">
        <v>1</v>
      </c>
      <c r="M38" s="5">
        <v>16</v>
      </c>
      <c r="N38" s="5">
        <v>10</v>
      </c>
      <c r="O38" s="5">
        <v>9</v>
      </c>
      <c r="P38" s="5">
        <v>9</v>
      </c>
      <c r="Q38" s="5">
        <v>9</v>
      </c>
      <c r="R38" s="5">
        <v>0</v>
      </c>
      <c r="S38" s="5">
        <v>0</v>
      </c>
      <c r="T38" s="5">
        <v>0</v>
      </c>
      <c r="U38" s="5">
        <v>1</v>
      </c>
      <c r="V38" s="81">
        <v>100</v>
      </c>
      <c r="W38" s="81">
        <v>94.74</v>
      </c>
      <c r="X38" s="81">
        <v>100</v>
      </c>
      <c r="Y38" s="81">
        <v>94.74</v>
      </c>
      <c r="Z38" s="5" t="s">
        <v>130</v>
      </c>
      <c r="AA38" s="5" t="s">
        <v>88</v>
      </c>
      <c r="AB38" s="5" t="s">
        <v>89</v>
      </c>
      <c r="AC38" s="5" t="s">
        <v>147</v>
      </c>
    </row>
    <row r="39" spans="1:29">
      <c r="A39" s="5">
        <v>2</v>
      </c>
      <c r="B39" s="5" t="s">
        <v>48</v>
      </c>
      <c r="C39" s="5" t="s">
        <v>49</v>
      </c>
      <c r="D39" s="5" t="s">
        <v>129</v>
      </c>
      <c r="E39" s="5">
        <v>1053</v>
      </c>
      <c r="F39" s="5" t="s">
        <v>123</v>
      </c>
      <c r="G39" s="81">
        <v>100</v>
      </c>
      <c r="H39" s="81">
        <v>66.67</v>
      </c>
      <c r="I39" s="81">
        <v>80</v>
      </c>
      <c r="J39" s="82">
        <f t="shared" si="0"/>
        <v>80.002399952001</v>
      </c>
      <c r="K39" s="11">
        <f t="shared" si="1"/>
        <v>0.00239995200095677</v>
      </c>
      <c r="L39" s="5">
        <v>2</v>
      </c>
      <c r="M39" s="5">
        <v>37</v>
      </c>
      <c r="N39" s="5">
        <v>3</v>
      </c>
      <c r="O39" s="5">
        <v>16</v>
      </c>
      <c r="P39" s="5">
        <v>2</v>
      </c>
      <c r="Q39" s="5">
        <v>2</v>
      </c>
      <c r="R39" s="5">
        <v>14</v>
      </c>
      <c r="S39" s="5">
        <v>0</v>
      </c>
      <c r="T39" s="5">
        <v>14</v>
      </c>
      <c r="U39" s="5">
        <v>1</v>
      </c>
      <c r="V39" s="81">
        <v>100</v>
      </c>
      <c r="W39" s="81">
        <v>80</v>
      </c>
      <c r="X39" s="81">
        <v>12.5</v>
      </c>
      <c r="Y39" s="81">
        <v>21.05</v>
      </c>
      <c r="Z39" s="5" t="s">
        <v>130</v>
      </c>
      <c r="AA39" s="5" t="s">
        <v>88</v>
      </c>
      <c r="AB39" s="5" t="s">
        <v>89</v>
      </c>
      <c r="AC39" s="5" t="s">
        <v>148</v>
      </c>
    </row>
    <row r="40" spans="1:29">
      <c r="A40" s="5">
        <v>2</v>
      </c>
      <c r="B40" s="5" t="s">
        <v>48</v>
      </c>
      <c r="C40" s="5" t="s">
        <v>49</v>
      </c>
      <c r="D40" s="5" t="s">
        <v>129</v>
      </c>
      <c r="E40" s="5">
        <v>1083</v>
      </c>
      <c r="F40" s="5" t="s">
        <v>125</v>
      </c>
      <c r="G40" s="81">
        <v>100</v>
      </c>
      <c r="H40" s="81">
        <v>96.97</v>
      </c>
      <c r="I40" s="81">
        <v>98.46</v>
      </c>
      <c r="J40" s="82">
        <f t="shared" si="0"/>
        <v>98.4616946743159</v>
      </c>
      <c r="K40" s="11">
        <f t="shared" si="1"/>
        <v>0.00169467431588544</v>
      </c>
      <c r="L40" s="5">
        <v>2</v>
      </c>
      <c r="M40" s="5">
        <v>46</v>
      </c>
      <c r="N40" s="5">
        <v>33</v>
      </c>
      <c r="O40" s="5">
        <v>43</v>
      </c>
      <c r="P40" s="5">
        <v>32</v>
      </c>
      <c r="Q40" s="5">
        <v>32</v>
      </c>
      <c r="R40" s="5">
        <v>11</v>
      </c>
      <c r="S40" s="5">
        <v>0</v>
      </c>
      <c r="T40" s="5">
        <v>11</v>
      </c>
      <c r="U40" s="5">
        <v>1</v>
      </c>
      <c r="V40" s="81">
        <v>100</v>
      </c>
      <c r="W40" s="81">
        <v>98.46</v>
      </c>
      <c r="X40" s="81">
        <v>74.42</v>
      </c>
      <c r="Y40" s="81">
        <v>84.21</v>
      </c>
      <c r="Z40" s="5" t="s">
        <v>130</v>
      </c>
      <c r="AA40" s="5" t="s">
        <v>88</v>
      </c>
      <c r="AB40" s="5" t="s">
        <v>89</v>
      </c>
      <c r="AC40" s="5" t="s">
        <v>149</v>
      </c>
    </row>
    <row r="41" spans="1:29">
      <c r="A41" s="5">
        <v>2</v>
      </c>
      <c r="B41" s="5" t="s">
        <v>48</v>
      </c>
      <c r="C41" s="5" t="s">
        <v>49</v>
      </c>
      <c r="D41" s="5" t="s">
        <v>129</v>
      </c>
      <c r="E41" s="5">
        <v>1491</v>
      </c>
      <c r="F41" s="5" t="s">
        <v>127</v>
      </c>
      <c r="G41" s="81">
        <v>90.91</v>
      </c>
      <c r="H41" s="81">
        <v>83.33</v>
      </c>
      <c r="I41" s="81">
        <v>86.96</v>
      </c>
      <c r="J41" s="82">
        <f t="shared" si="0"/>
        <v>86.9551228191001</v>
      </c>
      <c r="K41" s="11">
        <f t="shared" si="1"/>
        <v>-0.00487718089991063</v>
      </c>
      <c r="L41" s="5">
        <v>4</v>
      </c>
      <c r="M41" s="5">
        <v>19</v>
      </c>
      <c r="N41" s="5">
        <v>12</v>
      </c>
      <c r="O41" s="5">
        <v>28</v>
      </c>
      <c r="P41" s="5">
        <v>11</v>
      </c>
      <c r="Q41" s="5">
        <v>10</v>
      </c>
      <c r="R41" s="5">
        <v>18</v>
      </c>
      <c r="S41" s="5">
        <v>1</v>
      </c>
      <c r="T41" s="5">
        <v>17</v>
      </c>
      <c r="U41" s="5">
        <v>2</v>
      </c>
      <c r="V41" s="81">
        <v>90.91</v>
      </c>
      <c r="W41" s="81">
        <v>86.96</v>
      </c>
      <c r="X41" s="81">
        <v>35.71</v>
      </c>
      <c r="Y41" s="81">
        <v>50</v>
      </c>
      <c r="Z41" s="5" t="s">
        <v>130</v>
      </c>
      <c r="AA41" s="5" t="s">
        <v>88</v>
      </c>
      <c r="AB41" s="5" t="s">
        <v>89</v>
      </c>
      <c r="AC41" s="5" t="s">
        <v>150</v>
      </c>
    </row>
    <row r="42" spans="1:29">
      <c r="A42" s="5">
        <v>3</v>
      </c>
      <c r="B42" s="5" t="s">
        <v>50</v>
      </c>
      <c r="C42" s="5" t="s">
        <v>51</v>
      </c>
      <c r="D42" s="5" t="s">
        <v>151</v>
      </c>
      <c r="E42" s="5">
        <v>1</v>
      </c>
      <c r="F42" s="5" t="s">
        <v>86</v>
      </c>
      <c r="G42" s="81">
        <v>85.71</v>
      </c>
      <c r="H42" s="81">
        <v>42.86</v>
      </c>
      <c r="I42" s="81">
        <v>57.14</v>
      </c>
      <c r="J42" s="82">
        <f t="shared" si="0"/>
        <v>57.144444271603</v>
      </c>
      <c r="K42" s="11">
        <f t="shared" si="1"/>
        <v>0.00444427160301331</v>
      </c>
      <c r="L42" s="5">
        <v>3</v>
      </c>
      <c r="M42" s="5">
        <v>57</v>
      </c>
      <c r="N42" s="5">
        <v>42</v>
      </c>
      <c r="O42" s="5">
        <v>35</v>
      </c>
      <c r="P42" s="5">
        <v>21</v>
      </c>
      <c r="Q42" s="5">
        <v>18</v>
      </c>
      <c r="R42" s="5">
        <v>17</v>
      </c>
      <c r="S42" s="5">
        <v>3</v>
      </c>
      <c r="T42" s="5">
        <v>14</v>
      </c>
      <c r="U42" s="5">
        <v>24</v>
      </c>
      <c r="V42" s="81">
        <v>85.71</v>
      </c>
      <c r="W42" s="81">
        <v>57.14</v>
      </c>
      <c r="X42" s="81">
        <v>51.43</v>
      </c>
      <c r="Y42" s="81">
        <v>46.75</v>
      </c>
      <c r="Z42" s="5" t="s">
        <v>130</v>
      </c>
      <c r="AA42" s="5" t="s">
        <v>88</v>
      </c>
      <c r="AB42" s="5" t="s">
        <v>89</v>
      </c>
      <c r="AC42" s="5" t="s">
        <v>152</v>
      </c>
    </row>
    <row r="43" spans="1:29">
      <c r="A43" s="5">
        <v>3</v>
      </c>
      <c r="B43" s="5" t="s">
        <v>50</v>
      </c>
      <c r="C43" s="5" t="s">
        <v>51</v>
      </c>
      <c r="D43" s="5" t="s">
        <v>151</v>
      </c>
      <c r="E43" s="5">
        <v>2</v>
      </c>
      <c r="F43" s="5" t="s">
        <v>91</v>
      </c>
      <c r="G43" s="81">
        <v>61.29</v>
      </c>
      <c r="H43" s="81">
        <v>38</v>
      </c>
      <c r="I43" s="81">
        <v>46.91</v>
      </c>
      <c r="J43" s="82">
        <f t="shared" si="0"/>
        <v>46.9134857488166</v>
      </c>
      <c r="K43" s="11">
        <f t="shared" si="1"/>
        <v>0.00348574881660113</v>
      </c>
      <c r="L43" s="5">
        <v>2</v>
      </c>
      <c r="M43" s="5">
        <v>113</v>
      </c>
      <c r="N43" s="5">
        <v>50</v>
      </c>
      <c r="O43" s="5">
        <v>52</v>
      </c>
      <c r="P43" s="5">
        <v>31</v>
      </c>
      <c r="Q43" s="5">
        <v>19</v>
      </c>
      <c r="R43" s="5">
        <v>33</v>
      </c>
      <c r="S43" s="5">
        <v>12</v>
      </c>
      <c r="T43" s="5">
        <v>21</v>
      </c>
      <c r="U43" s="5">
        <v>31</v>
      </c>
      <c r="V43" s="81">
        <v>61.29</v>
      </c>
      <c r="W43" s="81">
        <v>46.91</v>
      </c>
      <c r="X43" s="81">
        <v>36.54</v>
      </c>
      <c r="Y43" s="81">
        <v>37.25</v>
      </c>
      <c r="Z43" s="5" t="s">
        <v>130</v>
      </c>
      <c r="AA43" s="5" t="s">
        <v>88</v>
      </c>
      <c r="AB43" s="5" t="s">
        <v>89</v>
      </c>
      <c r="AC43" s="5" t="s">
        <v>153</v>
      </c>
    </row>
    <row r="44" spans="1:29">
      <c r="A44" s="5">
        <v>3</v>
      </c>
      <c r="B44" s="5" t="s">
        <v>50</v>
      </c>
      <c r="C44" s="5" t="s">
        <v>51</v>
      </c>
      <c r="D44" s="5" t="s">
        <v>151</v>
      </c>
      <c r="E44" s="5">
        <v>3</v>
      </c>
      <c r="F44" s="5" t="s">
        <v>93</v>
      </c>
      <c r="G44" s="81">
        <v>73.91</v>
      </c>
      <c r="H44" s="81">
        <v>40.48</v>
      </c>
      <c r="I44" s="81">
        <v>52.31</v>
      </c>
      <c r="J44" s="82">
        <f t="shared" si="0"/>
        <v>52.3101110236909</v>
      </c>
      <c r="K44" s="11">
        <f t="shared" si="1"/>
        <v>0.000111023690877232</v>
      </c>
      <c r="L44" s="5">
        <v>2</v>
      </c>
      <c r="M44" s="5">
        <v>67</v>
      </c>
      <c r="N44" s="5">
        <v>42</v>
      </c>
      <c r="O44" s="5">
        <v>45</v>
      </c>
      <c r="P44" s="5">
        <v>23</v>
      </c>
      <c r="Q44" s="5">
        <v>17</v>
      </c>
      <c r="R44" s="5">
        <v>28</v>
      </c>
      <c r="S44" s="5">
        <v>6</v>
      </c>
      <c r="T44" s="5">
        <v>22</v>
      </c>
      <c r="U44" s="5">
        <v>25</v>
      </c>
      <c r="V44" s="81">
        <v>73.91</v>
      </c>
      <c r="W44" s="81">
        <v>52.31</v>
      </c>
      <c r="X44" s="81">
        <v>37.78</v>
      </c>
      <c r="Y44" s="81">
        <v>39.08</v>
      </c>
      <c r="Z44" s="5" t="s">
        <v>130</v>
      </c>
      <c r="AA44" s="5" t="s">
        <v>88</v>
      </c>
      <c r="AB44" s="5" t="s">
        <v>89</v>
      </c>
      <c r="AC44" s="5" t="s">
        <v>154</v>
      </c>
    </row>
    <row r="45" spans="1:29">
      <c r="A45" s="5">
        <v>3</v>
      </c>
      <c r="B45" s="5" t="s">
        <v>50</v>
      </c>
      <c r="C45" s="5" t="s">
        <v>51</v>
      </c>
      <c r="D45" s="5" t="s">
        <v>151</v>
      </c>
      <c r="E45" s="5">
        <v>4</v>
      </c>
      <c r="F45" s="5" t="s">
        <v>95</v>
      </c>
      <c r="G45" s="81">
        <v>100</v>
      </c>
      <c r="H45" s="81">
        <v>22.22</v>
      </c>
      <c r="I45" s="81">
        <v>36.36</v>
      </c>
      <c r="J45" s="82">
        <f t="shared" si="0"/>
        <v>36.3606611029291</v>
      </c>
      <c r="K45" s="11">
        <f t="shared" si="1"/>
        <v>0.000661102929143453</v>
      </c>
      <c r="L45" s="5">
        <v>4</v>
      </c>
      <c r="M45" s="5">
        <v>19</v>
      </c>
      <c r="N45" s="5">
        <v>9</v>
      </c>
      <c r="O45" s="5">
        <v>55</v>
      </c>
      <c r="P45" s="5">
        <v>2</v>
      </c>
      <c r="Q45" s="5">
        <v>2</v>
      </c>
      <c r="R45" s="5">
        <v>53</v>
      </c>
      <c r="S45" s="5">
        <v>0</v>
      </c>
      <c r="T45" s="5">
        <v>53</v>
      </c>
      <c r="U45" s="5">
        <v>7</v>
      </c>
      <c r="V45" s="81">
        <v>100</v>
      </c>
      <c r="W45" s="81">
        <v>36.36</v>
      </c>
      <c r="X45" s="81">
        <v>3.64</v>
      </c>
      <c r="Y45" s="81">
        <v>6.25</v>
      </c>
      <c r="Z45" s="5" t="s">
        <v>130</v>
      </c>
      <c r="AA45" s="5" t="s">
        <v>88</v>
      </c>
      <c r="AB45" s="5" t="s">
        <v>89</v>
      </c>
      <c r="AC45" s="5" t="s">
        <v>155</v>
      </c>
    </row>
    <row r="46" spans="1:29">
      <c r="A46" s="5">
        <v>3</v>
      </c>
      <c r="B46" s="5" t="s">
        <v>50</v>
      </c>
      <c r="C46" s="5" t="s">
        <v>51</v>
      </c>
      <c r="D46" s="5" t="s">
        <v>151</v>
      </c>
      <c r="E46" s="5">
        <v>5</v>
      </c>
      <c r="F46" s="5" t="s">
        <v>97</v>
      </c>
      <c r="G46" s="81">
        <v>80.95</v>
      </c>
      <c r="H46" s="81">
        <v>77.27</v>
      </c>
      <c r="I46" s="81">
        <v>79.07</v>
      </c>
      <c r="J46" s="82">
        <f t="shared" si="0"/>
        <v>79.0672038933131</v>
      </c>
      <c r="K46" s="11">
        <f t="shared" si="1"/>
        <v>-0.0027961066868869</v>
      </c>
      <c r="L46" s="5">
        <v>2</v>
      </c>
      <c r="M46" s="5">
        <v>66</v>
      </c>
      <c r="N46" s="5">
        <v>22</v>
      </c>
      <c r="O46" s="5">
        <v>45</v>
      </c>
      <c r="P46" s="5">
        <v>21</v>
      </c>
      <c r="Q46" s="5">
        <v>17</v>
      </c>
      <c r="R46" s="5">
        <v>28</v>
      </c>
      <c r="S46" s="5">
        <v>4</v>
      </c>
      <c r="T46" s="5">
        <v>24</v>
      </c>
      <c r="U46" s="5">
        <v>5</v>
      </c>
      <c r="V46" s="81">
        <v>80.95</v>
      </c>
      <c r="W46" s="81">
        <v>79.07</v>
      </c>
      <c r="X46" s="81">
        <v>37.78</v>
      </c>
      <c r="Y46" s="81">
        <v>50.75</v>
      </c>
      <c r="Z46" s="5" t="s">
        <v>130</v>
      </c>
      <c r="AA46" s="5" t="s">
        <v>88</v>
      </c>
      <c r="AB46" s="5" t="s">
        <v>89</v>
      </c>
      <c r="AC46" s="5" t="s">
        <v>156</v>
      </c>
    </row>
    <row r="47" spans="1:29">
      <c r="A47" s="5">
        <v>3</v>
      </c>
      <c r="B47" s="5" t="s">
        <v>50</v>
      </c>
      <c r="C47" s="5" t="s">
        <v>51</v>
      </c>
      <c r="D47" s="5" t="s">
        <v>151</v>
      </c>
      <c r="E47" s="5">
        <v>6</v>
      </c>
      <c r="F47" s="5" t="s">
        <v>99</v>
      </c>
      <c r="G47" s="81">
        <v>80.95</v>
      </c>
      <c r="H47" s="81">
        <v>30.36</v>
      </c>
      <c r="I47" s="81">
        <v>44.16</v>
      </c>
      <c r="J47" s="82">
        <f t="shared" si="0"/>
        <v>44.1585122630491</v>
      </c>
      <c r="K47" s="11">
        <f t="shared" si="1"/>
        <v>-0.0014877369508568</v>
      </c>
      <c r="L47" s="5">
        <v>3</v>
      </c>
      <c r="M47" s="5">
        <v>128</v>
      </c>
      <c r="N47" s="5">
        <v>56</v>
      </c>
      <c r="O47" s="5">
        <v>42</v>
      </c>
      <c r="P47" s="5">
        <v>21</v>
      </c>
      <c r="Q47" s="5">
        <v>17</v>
      </c>
      <c r="R47" s="5">
        <v>25</v>
      </c>
      <c r="S47" s="5">
        <v>4</v>
      </c>
      <c r="T47" s="5">
        <v>21</v>
      </c>
      <c r="U47" s="5">
        <v>39</v>
      </c>
      <c r="V47" s="81">
        <v>80.95</v>
      </c>
      <c r="W47" s="81">
        <v>44.16</v>
      </c>
      <c r="X47" s="81">
        <v>40.48</v>
      </c>
      <c r="Y47" s="81">
        <v>34.69</v>
      </c>
      <c r="Z47" s="5" t="s">
        <v>130</v>
      </c>
      <c r="AA47" s="5" t="s">
        <v>88</v>
      </c>
      <c r="AB47" s="5" t="s">
        <v>89</v>
      </c>
      <c r="AC47" s="5" t="s">
        <v>157</v>
      </c>
    </row>
    <row r="48" spans="1:29">
      <c r="A48" s="5">
        <v>3</v>
      </c>
      <c r="B48" s="5" t="s">
        <v>50</v>
      </c>
      <c r="C48" s="5" t="s">
        <v>51</v>
      </c>
      <c r="D48" s="5" t="s">
        <v>151</v>
      </c>
      <c r="E48" s="5">
        <v>9</v>
      </c>
      <c r="F48" s="5" t="s">
        <v>101</v>
      </c>
      <c r="G48" s="81">
        <v>55.56</v>
      </c>
      <c r="H48" s="81">
        <v>15.15</v>
      </c>
      <c r="I48" s="81">
        <v>23.81</v>
      </c>
      <c r="J48" s="82">
        <f t="shared" si="0"/>
        <v>23.8080610946118</v>
      </c>
      <c r="K48" s="11">
        <f t="shared" si="1"/>
        <v>-0.0019389053882044</v>
      </c>
      <c r="L48" s="5">
        <v>4</v>
      </c>
      <c r="M48" s="5">
        <v>155</v>
      </c>
      <c r="N48" s="5">
        <v>66</v>
      </c>
      <c r="O48" s="5">
        <v>45</v>
      </c>
      <c r="P48" s="5">
        <v>18</v>
      </c>
      <c r="Q48" s="5">
        <v>10</v>
      </c>
      <c r="R48" s="5">
        <v>35</v>
      </c>
      <c r="S48" s="5">
        <v>8</v>
      </c>
      <c r="T48" s="5">
        <v>27</v>
      </c>
      <c r="U48" s="5">
        <v>56</v>
      </c>
      <c r="V48" s="81">
        <v>55.56</v>
      </c>
      <c r="W48" s="81">
        <v>23.81</v>
      </c>
      <c r="X48" s="81">
        <v>22.22</v>
      </c>
      <c r="Y48" s="81">
        <v>18.02</v>
      </c>
      <c r="Z48" s="5" t="s">
        <v>130</v>
      </c>
      <c r="AA48" s="5" t="s">
        <v>88</v>
      </c>
      <c r="AB48" s="5" t="s">
        <v>89</v>
      </c>
      <c r="AC48" s="5" t="s">
        <v>158</v>
      </c>
    </row>
    <row r="49" spans="1:29">
      <c r="A49" s="5">
        <v>3</v>
      </c>
      <c r="B49" s="5" t="s">
        <v>50</v>
      </c>
      <c r="C49" s="5" t="s">
        <v>51</v>
      </c>
      <c r="D49" s="5" t="s">
        <v>151</v>
      </c>
      <c r="E49" s="5">
        <v>11</v>
      </c>
      <c r="F49" s="5" t="s">
        <v>103</v>
      </c>
      <c r="G49" s="81">
        <v>83.33</v>
      </c>
      <c r="H49" s="81">
        <v>33.33</v>
      </c>
      <c r="I49" s="81">
        <v>47.62</v>
      </c>
      <c r="J49" s="82">
        <f t="shared" si="0"/>
        <v>47.6151020058289</v>
      </c>
      <c r="K49" s="11">
        <f t="shared" si="1"/>
        <v>-0.00489799417109538</v>
      </c>
      <c r="L49" s="5">
        <v>2</v>
      </c>
      <c r="M49" s="5">
        <v>60</v>
      </c>
      <c r="N49" s="5">
        <v>15</v>
      </c>
      <c r="O49" s="5">
        <v>21</v>
      </c>
      <c r="P49" s="5">
        <v>6</v>
      </c>
      <c r="Q49" s="5">
        <v>5</v>
      </c>
      <c r="R49" s="5">
        <v>16</v>
      </c>
      <c r="S49" s="5">
        <v>1</v>
      </c>
      <c r="T49" s="5">
        <v>15</v>
      </c>
      <c r="U49" s="5">
        <v>10</v>
      </c>
      <c r="V49" s="81">
        <v>83.33</v>
      </c>
      <c r="W49" s="81">
        <v>47.62</v>
      </c>
      <c r="X49" s="81">
        <v>23.81</v>
      </c>
      <c r="Y49" s="81">
        <v>27.78</v>
      </c>
      <c r="Z49" s="5" t="s">
        <v>130</v>
      </c>
      <c r="AA49" s="5" t="s">
        <v>88</v>
      </c>
      <c r="AB49" s="5" t="s">
        <v>89</v>
      </c>
      <c r="AC49" s="5" t="s">
        <v>159</v>
      </c>
    </row>
    <row r="50" spans="1:29">
      <c r="A50" s="5">
        <v>3</v>
      </c>
      <c r="B50" s="5" t="s">
        <v>50</v>
      </c>
      <c r="C50" s="5" t="s">
        <v>51</v>
      </c>
      <c r="D50" s="5" t="s">
        <v>151</v>
      </c>
      <c r="E50" s="5">
        <v>20</v>
      </c>
      <c r="F50" s="5" t="s">
        <v>105</v>
      </c>
      <c r="G50" s="81">
        <v>83.33</v>
      </c>
      <c r="H50" s="81">
        <v>22.73</v>
      </c>
      <c r="I50" s="81">
        <v>35.71</v>
      </c>
      <c r="J50" s="82">
        <f t="shared" si="0"/>
        <v>35.7173467848388</v>
      </c>
      <c r="K50" s="11">
        <f t="shared" si="1"/>
        <v>0.0073467848387665</v>
      </c>
      <c r="L50" s="5">
        <v>4</v>
      </c>
      <c r="M50" s="5">
        <v>133</v>
      </c>
      <c r="N50" s="5">
        <v>66</v>
      </c>
      <c r="O50" s="5">
        <v>51</v>
      </c>
      <c r="P50" s="5">
        <v>18</v>
      </c>
      <c r="Q50" s="5">
        <v>15</v>
      </c>
      <c r="R50" s="5">
        <v>36</v>
      </c>
      <c r="S50" s="5">
        <v>3</v>
      </c>
      <c r="T50" s="5">
        <v>33</v>
      </c>
      <c r="U50" s="5">
        <v>51</v>
      </c>
      <c r="V50" s="81">
        <v>83.33</v>
      </c>
      <c r="W50" s="81">
        <v>35.71</v>
      </c>
      <c r="X50" s="81">
        <v>29.41</v>
      </c>
      <c r="Y50" s="81">
        <v>25.64</v>
      </c>
      <c r="Z50" s="5" t="s">
        <v>130</v>
      </c>
      <c r="AA50" s="5" t="s">
        <v>88</v>
      </c>
      <c r="AB50" s="5" t="s">
        <v>89</v>
      </c>
      <c r="AC50" s="5" t="s">
        <v>160</v>
      </c>
    </row>
    <row r="51" spans="1:29">
      <c r="A51" s="5">
        <v>3</v>
      </c>
      <c r="B51" s="5" t="s">
        <v>50</v>
      </c>
      <c r="C51" s="5" t="s">
        <v>51</v>
      </c>
      <c r="D51" s="5" t="s">
        <v>151</v>
      </c>
      <c r="E51" s="5">
        <v>22</v>
      </c>
      <c r="F51" s="5" t="s">
        <v>107</v>
      </c>
      <c r="G51" s="81">
        <v>60</v>
      </c>
      <c r="H51" s="81">
        <v>12.5</v>
      </c>
      <c r="I51" s="81">
        <v>20.69</v>
      </c>
      <c r="J51" s="82">
        <f t="shared" si="0"/>
        <v>20.6896551724138</v>
      </c>
      <c r="K51" s="11">
        <f t="shared" si="1"/>
        <v>-0.000344827586207685</v>
      </c>
      <c r="L51" s="5">
        <v>4</v>
      </c>
      <c r="M51" s="5">
        <v>53</v>
      </c>
      <c r="N51" s="5">
        <v>24</v>
      </c>
      <c r="O51" s="5">
        <v>29</v>
      </c>
      <c r="P51" s="5">
        <v>5</v>
      </c>
      <c r="Q51" s="5">
        <v>3</v>
      </c>
      <c r="R51" s="5">
        <v>26</v>
      </c>
      <c r="S51" s="5">
        <v>2</v>
      </c>
      <c r="T51" s="5">
        <v>24</v>
      </c>
      <c r="U51" s="5">
        <v>21</v>
      </c>
      <c r="V51" s="81">
        <v>60</v>
      </c>
      <c r="W51" s="81">
        <v>20.69</v>
      </c>
      <c r="X51" s="81">
        <v>10.34</v>
      </c>
      <c r="Y51" s="81">
        <v>11.32</v>
      </c>
      <c r="Z51" s="5" t="s">
        <v>130</v>
      </c>
      <c r="AA51" s="5" t="s">
        <v>88</v>
      </c>
      <c r="AB51" s="5" t="s">
        <v>89</v>
      </c>
      <c r="AC51" s="5" t="s">
        <v>161</v>
      </c>
    </row>
    <row r="52" spans="1:29">
      <c r="A52" s="5">
        <v>3</v>
      </c>
      <c r="B52" s="5" t="s">
        <v>50</v>
      </c>
      <c r="C52" s="5" t="s">
        <v>51</v>
      </c>
      <c r="D52" s="5" t="s">
        <v>151</v>
      </c>
      <c r="E52" s="5">
        <v>26</v>
      </c>
      <c r="F52" s="5" t="s">
        <v>109</v>
      </c>
      <c r="G52" s="81">
        <v>76.19</v>
      </c>
      <c r="H52" s="81">
        <v>22.22</v>
      </c>
      <c r="I52" s="81">
        <v>34.41</v>
      </c>
      <c r="J52" s="82">
        <f t="shared" si="0"/>
        <v>34.4058896453612</v>
      </c>
      <c r="K52" s="11">
        <f t="shared" si="1"/>
        <v>-0.00411035463875464</v>
      </c>
      <c r="L52" s="5">
        <v>4</v>
      </c>
      <c r="M52" s="5">
        <v>136</v>
      </c>
      <c r="N52" s="5">
        <v>72</v>
      </c>
      <c r="O52" s="5">
        <v>44</v>
      </c>
      <c r="P52" s="5">
        <v>21</v>
      </c>
      <c r="Q52" s="5">
        <v>16</v>
      </c>
      <c r="R52" s="5">
        <v>28</v>
      </c>
      <c r="S52" s="5">
        <v>5</v>
      </c>
      <c r="T52" s="5">
        <v>23</v>
      </c>
      <c r="U52" s="5">
        <v>56</v>
      </c>
      <c r="V52" s="81">
        <v>76.19</v>
      </c>
      <c r="W52" s="81">
        <v>34.41</v>
      </c>
      <c r="X52" s="81">
        <v>36.36</v>
      </c>
      <c r="Y52" s="81">
        <v>27.59</v>
      </c>
      <c r="Z52" s="5" t="s">
        <v>130</v>
      </c>
      <c r="AA52" s="5" t="s">
        <v>88</v>
      </c>
      <c r="AB52" s="5" t="s">
        <v>89</v>
      </c>
      <c r="AC52" s="5" t="s">
        <v>162</v>
      </c>
    </row>
    <row r="53" spans="1:29">
      <c r="A53" s="5">
        <v>3</v>
      </c>
      <c r="B53" s="5" t="s">
        <v>50</v>
      </c>
      <c r="C53" s="5" t="s">
        <v>51</v>
      </c>
      <c r="D53" s="5" t="s">
        <v>151</v>
      </c>
      <c r="E53" s="5">
        <v>44</v>
      </c>
      <c r="F53" s="5" t="s">
        <v>111</v>
      </c>
      <c r="G53" s="81">
        <v>87.76</v>
      </c>
      <c r="H53" s="81">
        <v>51.81</v>
      </c>
      <c r="I53" s="81">
        <v>65.15</v>
      </c>
      <c r="J53" s="82">
        <f t="shared" si="0"/>
        <v>65.1550562441786</v>
      </c>
      <c r="K53" s="11">
        <f t="shared" si="1"/>
        <v>0.00505624417854733</v>
      </c>
      <c r="L53" s="5">
        <v>3</v>
      </c>
      <c r="M53" s="5">
        <v>137</v>
      </c>
      <c r="N53" s="5">
        <v>83</v>
      </c>
      <c r="O53" s="5">
        <v>62</v>
      </c>
      <c r="P53" s="5">
        <v>49</v>
      </c>
      <c r="Q53" s="5">
        <v>43</v>
      </c>
      <c r="R53" s="5">
        <v>19</v>
      </c>
      <c r="S53" s="5">
        <v>6</v>
      </c>
      <c r="T53" s="5">
        <v>13</v>
      </c>
      <c r="U53" s="5">
        <v>40</v>
      </c>
      <c r="V53" s="81">
        <v>87.76</v>
      </c>
      <c r="W53" s="81">
        <v>65.15</v>
      </c>
      <c r="X53" s="81">
        <v>69.35</v>
      </c>
      <c r="Y53" s="81">
        <v>59.31</v>
      </c>
      <c r="Z53" s="5" t="s">
        <v>130</v>
      </c>
      <c r="AA53" s="5" t="s">
        <v>88</v>
      </c>
      <c r="AB53" s="5" t="s">
        <v>89</v>
      </c>
      <c r="AC53" s="5" t="s">
        <v>163</v>
      </c>
    </row>
    <row r="54" spans="1:29">
      <c r="A54" s="5">
        <v>3</v>
      </c>
      <c r="B54" s="5" t="s">
        <v>50</v>
      </c>
      <c r="C54" s="5" t="s">
        <v>51</v>
      </c>
      <c r="D54" s="5" t="s">
        <v>151</v>
      </c>
      <c r="E54" s="5">
        <v>53</v>
      </c>
      <c r="F54" s="5" t="s">
        <v>113</v>
      </c>
      <c r="G54" s="81">
        <v>84</v>
      </c>
      <c r="H54" s="81">
        <v>52.5</v>
      </c>
      <c r="I54" s="81">
        <v>64.62</v>
      </c>
      <c r="J54" s="82">
        <f t="shared" si="0"/>
        <v>64.6153846153846</v>
      </c>
      <c r="K54" s="11">
        <f t="shared" si="1"/>
        <v>-0.00461538461539135</v>
      </c>
      <c r="L54" s="5">
        <v>2</v>
      </c>
      <c r="M54" s="5">
        <v>84</v>
      </c>
      <c r="N54" s="5">
        <v>40</v>
      </c>
      <c r="O54" s="5">
        <v>41</v>
      </c>
      <c r="P54" s="5">
        <v>25</v>
      </c>
      <c r="Q54" s="5">
        <v>21</v>
      </c>
      <c r="R54" s="5">
        <v>20</v>
      </c>
      <c r="S54" s="5">
        <v>4</v>
      </c>
      <c r="T54" s="5">
        <v>16</v>
      </c>
      <c r="U54" s="5">
        <v>19</v>
      </c>
      <c r="V54" s="81">
        <v>84</v>
      </c>
      <c r="W54" s="81">
        <v>64.62</v>
      </c>
      <c r="X54" s="81">
        <v>51.22</v>
      </c>
      <c r="Y54" s="81">
        <v>51.85</v>
      </c>
      <c r="Z54" s="5" t="s">
        <v>130</v>
      </c>
      <c r="AA54" s="5" t="s">
        <v>88</v>
      </c>
      <c r="AB54" s="5" t="s">
        <v>89</v>
      </c>
      <c r="AC54" s="5" t="s">
        <v>164</v>
      </c>
    </row>
    <row r="55" spans="1:29">
      <c r="A55" s="5">
        <v>3</v>
      </c>
      <c r="B55" s="5" t="s">
        <v>50</v>
      </c>
      <c r="C55" s="5" t="s">
        <v>51</v>
      </c>
      <c r="D55" s="5" t="s">
        <v>151</v>
      </c>
      <c r="E55" s="5">
        <v>145</v>
      </c>
      <c r="F55" s="5" t="s">
        <v>115</v>
      </c>
      <c r="G55" s="81">
        <v>66.67</v>
      </c>
      <c r="H55" s="81">
        <v>30.77</v>
      </c>
      <c r="I55" s="81">
        <v>42.11</v>
      </c>
      <c r="J55" s="82">
        <f t="shared" si="0"/>
        <v>42.1066481937603</v>
      </c>
      <c r="K55" s="11">
        <f t="shared" si="1"/>
        <v>-0.00335180623973486</v>
      </c>
      <c r="L55" s="5">
        <v>4</v>
      </c>
      <c r="M55" s="5">
        <v>64</v>
      </c>
      <c r="N55" s="5">
        <v>26</v>
      </c>
      <c r="O55" s="5">
        <v>35</v>
      </c>
      <c r="P55" s="5">
        <v>12</v>
      </c>
      <c r="Q55" s="5">
        <v>8</v>
      </c>
      <c r="R55" s="5">
        <v>27</v>
      </c>
      <c r="S55" s="5">
        <v>4</v>
      </c>
      <c r="T55" s="5">
        <v>23</v>
      </c>
      <c r="U55" s="5">
        <v>18</v>
      </c>
      <c r="V55" s="81">
        <v>66.67</v>
      </c>
      <c r="W55" s="81">
        <v>42.11</v>
      </c>
      <c r="X55" s="81">
        <v>22.86</v>
      </c>
      <c r="Y55" s="81">
        <v>26.23</v>
      </c>
      <c r="Z55" s="5" t="s">
        <v>130</v>
      </c>
      <c r="AA55" s="5" t="s">
        <v>88</v>
      </c>
      <c r="AB55" s="5" t="s">
        <v>89</v>
      </c>
      <c r="AC55" s="5" t="s">
        <v>165</v>
      </c>
    </row>
    <row r="56" spans="1:29">
      <c r="A56" s="5">
        <v>3</v>
      </c>
      <c r="B56" s="5" t="s">
        <v>50</v>
      </c>
      <c r="C56" s="5" t="s">
        <v>51</v>
      </c>
      <c r="D56" s="5" t="s">
        <v>151</v>
      </c>
      <c r="E56" s="5">
        <v>147</v>
      </c>
      <c r="F56" s="5" t="s">
        <v>117</v>
      </c>
      <c r="G56" s="81">
        <v>81.08</v>
      </c>
      <c r="H56" s="81">
        <v>53.57</v>
      </c>
      <c r="I56" s="81">
        <v>64.52</v>
      </c>
      <c r="J56" s="82">
        <f t="shared" si="0"/>
        <v>64.5147508354994</v>
      </c>
      <c r="K56" s="11">
        <f t="shared" si="1"/>
        <v>-0.00524916450055457</v>
      </c>
      <c r="L56" s="5">
        <v>4</v>
      </c>
      <c r="M56" s="5">
        <v>90</v>
      </c>
      <c r="N56" s="5">
        <v>56</v>
      </c>
      <c r="O56" s="5">
        <v>64</v>
      </c>
      <c r="P56" s="5">
        <v>37</v>
      </c>
      <c r="Q56" s="5">
        <v>30</v>
      </c>
      <c r="R56" s="5">
        <v>34</v>
      </c>
      <c r="S56" s="5">
        <v>7</v>
      </c>
      <c r="T56" s="5">
        <v>27</v>
      </c>
      <c r="U56" s="5">
        <v>26</v>
      </c>
      <c r="V56" s="81">
        <v>81.08</v>
      </c>
      <c r="W56" s="81">
        <v>64.52</v>
      </c>
      <c r="X56" s="81">
        <v>46.88</v>
      </c>
      <c r="Y56" s="81">
        <v>50</v>
      </c>
      <c r="Z56" s="5" t="s">
        <v>130</v>
      </c>
      <c r="AA56" s="5" t="s">
        <v>88</v>
      </c>
      <c r="AB56" s="5" t="s">
        <v>89</v>
      </c>
      <c r="AC56" s="5" t="s">
        <v>166</v>
      </c>
    </row>
    <row r="57" spans="1:29">
      <c r="A57" s="5">
        <v>3</v>
      </c>
      <c r="B57" s="5" t="s">
        <v>50</v>
      </c>
      <c r="C57" s="5" t="s">
        <v>51</v>
      </c>
      <c r="D57" s="5" t="s">
        <v>151</v>
      </c>
      <c r="E57" s="5">
        <v>454</v>
      </c>
      <c r="F57" s="5" t="s">
        <v>119</v>
      </c>
      <c r="G57" s="81">
        <v>83.33</v>
      </c>
      <c r="H57" s="81">
        <v>83.33</v>
      </c>
      <c r="I57" s="81">
        <v>83.33</v>
      </c>
      <c r="J57" s="82">
        <f t="shared" si="0"/>
        <v>83.33</v>
      </c>
      <c r="K57" s="11">
        <f t="shared" si="1"/>
        <v>0</v>
      </c>
      <c r="L57" s="5">
        <v>3</v>
      </c>
      <c r="M57" s="5">
        <v>26</v>
      </c>
      <c r="N57" s="5">
        <v>6</v>
      </c>
      <c r="O57" s="5">
        <v>9</v>
      </c>
      <c r="P57" s="5">
        <v>6</v>
      </c>
      <c r="Q57" s="5">
        <v>5</v>
      </c>
      <c r="R57" s="5">
        <v>4</v>
      </c>
      <c r="S57" s="5">
        <v>1</v>
      </c>
      <c r="T57" s="5">
        <v>3</v>
      </c>
      <c r="U57" s="5">
        <v>1</v>
      </c>
      <c r="V57" s="81">
        <v>83.33</v>
      </c>
      <c r="W57" s="81">
        <v>83.33</v>
      </c>
      <c r="X57" s="81">
        <v>55.56</v>
      </c>
      <c r="Y57" s="81">
        <v>66.67</v>
      </c>
      <c r="Z57" s="5" t="s">
        <v>130</v>
      </c>
      <c r="AA57" s="5" t="s">
        <v>88</v>
      </c>
      <c r="AB57" s="5" t="s">
        <v>89</v>
      </c>
      <c r="AC57" s="5" t="s">
        <v>167</v>
      </c>
    </row>
    <row r="58" spans="1:29">
      <c r="A58" s="5">
        <v>3</v>
      </c>
      <c r="B58" s="5" t="s">
        <v>50</v>
      </c>
      <c r="C58" s="5" t="s">
        <v>51</v>
      </c>
      <c r="D58" s="5" t="s">
        <v>151</v>
      </c>
      <c r="E58" s="5">
        <v>482</v>
      </c>
      <c r="F58" s="5" t="s">
        <v>121</v>
      </c>
      <c r="G58" s="81">
        <v>25</v>
      </c>
      <c r="H58" s="81">
        <v>20</v>
      </c>
      <c r="I58" s="81">
        <v>22.22</v>
      </c>
      <c r="J58" s="82">
        <f t="shared" si="0"/>
        <v>22.2222222222222</v>
      </c>
      <c r="K58" s="11">
        <f t="shared" si="1"/>
        <v>0.00222222222222257</v>
      </c>
      <c r="L58" s="5">
        <v>5</v>
      </c>
      <c r="M58" s="5">
        <v>16</v>
      </c>
      <c r="N58" s="5">
        <v>10</v>
      </c>
      <c r="O58" s="5">
        <v>8</v>
      </c>
      <c r="P58" s="5">
        <v>8</v>
      </c>
      <c r="Q58" s="5">
        <v>2</v>
      </c>
      <c r="R58" s="5">
        <v>6</v>
      </c>
      <c r="S58" s="5">
        <v>6</v>
      </c>
      <c r="T58" s="5">
        <v>0</v>
      </c>
      <c r="U58" s="5">
        <v>8</v>
      </c>
      <c r="V58" s="81">
        <v>25</v>
      </c>
      <c r="W58" s="81">
        <v>22.22</v>
      </c>
      <c r="X58" s="81">
        <v>25</v>
      </c>
      <c r="Y58" s="81">
        <v>22.22</v>
      </c>
      <c r="Z58" s="5" t="s">
        <v>130</v>
      </c>
      <c r="AA58" s="5" t="s">
        <v>88</v>
      </c>
      <c r="AB58" s="5" t="s">
        <v>89</v>
      </c>
      <c r="AC58" s="5" t="s">
        <v>168</v>
      </c>
    </row>
    <row r="59" spans="1:29">
      <c r="A59" s="5">
        <v>3</v>
      </c>
      <c r="B59" s="5" t="s">
        <v>50</v>
      </c>
      <c r="C59" s="5" t="s">
        <v>51</v>
      </c>
      <c r="D59" s="5" t="s">
        <v>151</v>
      </c>
      <c r="E59" s="5">
        <v>1053</v>
      </c>
      <c r="F59" s="5" t="s">
        <v>123</v>
      </c>
      <c r="G59" s="81">
        <v>50</v>
      </c>
      <c r="H59" s="81">
        <v>33.33</v>
      </c>
      <c r="I59" s="81">
        <v>40</v>
      </c>
      <c r="J59" s="82">
        <f t="shared" si="0"/>
        <v>39.9975999039962</v>
      </c>
      <c r="K59" s="11">
        <f t="shared" si="1"/>
        <v>-0.00240009600383928</v>
      </c>
      <c r="L59" s="5">
        <v>4</v>
      </c>
      <c r="M59" s="5">
        <v>37</v>
      </c>
      <c r="N59" s="5">
        <v>3</v>
      </c>
      <c r="O59" s="5">
        <v>20</v>
      </c>
      <c r="P59" s="5">
        <v>2</v>
      </c>
      <c r="Q59" s="5">
        <v>1</v>
      </c>
      <c r="R59" s="5">
        <v>19</v>
      </c>
      <c r="S59" s="5">
        <v>1</v>
      </c>
      <c r="T59" s="5">
        <v>18</v>
      </c>
      <c r="U59" s="5">
        <v>2</v>
      </c>
      <c r="V59" s="81">
        <v>50</v>
      </c>
      <c r="W59" s="81">
        <v>40</v>
      </c>
      <c r="X59" s="81">
        <v>5</v>
      </c>
      <c r="Y59" s="81">
        <v>8.7</v>
      </c>
      <c r="Z59" s="5" t="s">
        <v>130</v>
      </c>
      <c r="AA59" s="5" t="s">
        <v>88</v>
      </c>
      <c r="AB59" s="5" t="s">
        <v>89</v>
      </c>
      <c r="AC59" s="5" t="s">
        <v>169</v>
      </c>
    </row>
    <row r="60" spans="1:29">
      <c r="A60" s="5">
        <v>3</v>
      </c>
      <c r="B60" s="5" t="s">
        <v>50</v>
      </c>
      <c r="C60" s="5" t="s">
        <v>51</v>
      </c>
      <c r="D60" s="5" t="s">
        <v>151</v>
      </c>
      <c r="E60" s="5">
        <v>1083</v>
      </c>
      <c r="F60" s="5" t="s">
        <v>125</v>
      </c>
      <c r="G60" s="81">
        <v>93.75</v>
      </c>
      <c r="H60" s="81">
        <v>90.91</v>
      </c>
      <c r="I60" s="81">
        <v>92.31</v>
      </c>
      <c r="J60" s="82">
        <f t="shared" si="0"/>
        <v>92.3081609444384</v>
      </c>
      <c r="K60" s="11">
        <f t="shared" si="1"/>
        <v>-0.00183905556157526</v>
      </c>
      <c r="L60" s="5">
        <v>3</v>
      </c>
      <c r="M60" s="5">
        <v>46</v>
      </c>
      <c r="N60" s="5">
        <v>33</v>
      </c>
      <c r="O60" s="5">
        <v>40</v>
      </c>
      <c r="P60" s="5">
        <v>32</v>
      </c>
      <c r="Q60" s="5">
        <v>30</v>
      </c>
      <c r="R60" s="5">
        <v>10</v>
      </c>
      <c r="S60" s="5">
        <v>2</v>
      </c>
      <c r="T60" s="5">
        <v>8</v>
      </c>
      <c r="U60" s="5">
        <v>3</v>
      </c>
      <c r="V60" s="81">
        <v>93.75</v>
      </c>
      <c r="W60" s="81">
        <v>92.31</v>
      </c>
      <c r="X60" s="81">
        <v>75</v>
      </c>
      <c r="Y60" s="81">
        <v>82.19</v>
      </c>
      <c r="Z60" s="5" t="s">
        <v>130</v>
      </c>
      <c r="AA60" s="5" t="s">
        <v>88</v>
      </c>
      <c r="AB60" s="5" t="s">
        <v>89</v>
      </c>
      <c r="AC60" s="5" t="s">
        <v>170</v>
      </c>
    </row>
    <row r="61" spans="1:29">
      <c r="A61" s="5">
        <v>3</v>
      </c>
      <c r="B61" s="5" t="s">
        <v>50</v>
      </c>
      <c r="C61" s="5" t="s">
        <v>51</v>
      </c>
      <c r="D61" s="5" t="s">
        <v>151</v>
      </c>
      <c r="E61" s="5">
        <v>1491</v>
      </c>
      <c r="F61" s="5" t="s">
        <v>127</v>
      </c>
      <c r="G61" s="81">
        <v>91.67</v>
      </c>
      <c r="H61" s="81">
        <v>91.67</v>
      </c>
      <c r="I61" s="81">
        <v>91.67</v>
      </c>
      <c r="J61" s="82">
        <f t="shared" si="0"/>
        <v>91.67</v>
      </c>
      <c r="K61" s="11">
        <f t="shared" si="1"/>
        <v>0</v>
      </c>
      <c r="L61" s="5">
        <v>1</v>
      </c>
      <c r="M61" s="5">
        <v>19</v>
      </c>
      <c r="N61" s="5">
        <v>12</v>
      </c>
      <c r="O61" s="5">
        <v>20</v>
      </c>
      <c r="P61" s="5">
        <v>12</v>
      </c>
      <c r="Q61" s="5">
        <v>11</v>
      </c>
      <c r="R61" s="5">
        <v>9</v>
      </c>
      <c r="S61" s="5">
        <v>1</v>
      </c>
      <c r="T61" s="5">
        <v>8</v>
      </c>
      <c r="U61" s="5">
        <v>1</v>
      </c>
      <c r="V61" s="81">
        <v>91.67</v>
      </c>
      <c r="W61" s="81">
        <v>91.67</v>
      </c>
      <c r="X61" s="81">
        <v>55</v>
      </c>
      <c r="Y61" s="81">
        <v>68.75</v>
      </c>
      <c r="Z61" s="5" t="s">
        <v>130</v>
      </c>
      <c r="AA61" s="5" t="s">
        <v>88</v>
      </c>
      <c r="AB61" s="5" t="s">
        <v>89</v>
      </c>
      <c r="AC61" s="5" t="s">
        <v>171</v>
      </c>
    </row>
    <row r="62" spans="1:29">
      <c r="A62" s="5">
        <v>4</v>
      </c>
      <c r="B62" s="5" t="s">
        <v>52</v>
      </c>
      <c r="C62" s="5" t="s">
        <v>53</v>
      </c>
      <c r="D62" s="5" t="s">
        <v>53</v>
      </c>
      <c r="E62" s="5">
        <v>1</v>
      </c>
      <c r="F62" s="5" t="s">
        <v>86</v>
      </c>
      <c r="G62" s="81">
        <v>80.95</v>
      </c>
      <c r="H62" s="81">
        <v>40.48</v>
      </c>
      <c r="I62" s="81">
        <v>53.97</v>
      </c>
      <c r="J62" s="82">
        <f t="shared" si="0"/>
        <v>53.9711109281067</v>
      </c>
      <c r="K62" s="11">
        <f t="shared" si="1"/>
        <v>0.0011109281067192</v>
      </c>
      <c r="L62" s="5">
        <v>4</v>
      </c>
      <c r="M62" s="5">
        <v>57</v>
      </c>
      <c r="N62" s="5">
        <v>42</v>
      </c>
      <c r="O62" s="5">
        <v>35</v>
      </c>
      <c r="P62" s="5">
        <v>21</v>
      </c>
      <c r="Q62" s="5">
        <v>17</v>
      </c>
      <c r="R62" s="5">
        <v>18</v>
      </c>
      <c r="S62" s="5">
        <v>4</v>
      </c>
      <c r="T62" s="5">
        <v>14</v>
      </c>
      <c r="U62" s="5">
        <v>25</v>
      </c>
      <c r="V62" s="81">
        <v>80.95</v>
      </c>
      <c r="W62" s="81">
        <v>53.97</v>
      </c>
      <c r="X62" s="81">
        <v>48.57</v>
      </c>
      <c r="Y62" s="81">
        <v>44.16</v>
      </c>
      <c r="Z62" s="5" t="s">
        <v>130</v>
      </c>
      <c r="AA62" s="5" t="s">
        <v>88</v>
      </c>
      <c r="AB62" s="5" t="s">
        <v>89</v>
      </c>
      <c r="AC62" s="5" t="s">
        <v>172</v>
      </c>
    </row>
    <row r="63" spans="1:29">
      <c r="A63" s="5">
        <v>4</v>
      </c>
      <c r="B63" s="5" t="s">
        <v>52</v>
      </c>
      <c r="C63" s="5" t="s">
        <v>53</v>
      </c>
      <c r="D63" s="5" t="s">
        <v>53</v>
      </c>
      <c r="E63" s="5">
        <v>2</v>
      </c>
      <c r="F63" s="5" t="s">
        <v>91</v>
      </c>
      <c r="G63" s="81">
        <v>44.83</v>
      </c>
      <c r="H63" s="81">
        <v>26</v>
      </c>
      <c r="I63" s="81">
        <v>32.91</v>
      </c>
      <c r="J63" s="82">
        <f t="shared" si="0"/>
        <v>32.9120429196668</v>
      </c>
      <c r="K63" s="11">
        <f t="shared" si="1"/>
        <v>0.00204291966681325</v>
      </c>
      <c r="L63" s="5">
        <v>6</v>
      </c>
      <c r="M63" s="5">
        <v>113</v>
      </c>
      <c r="N63" s="5">
        <v>50</v>
      </c>
      <c r="O63" s="5">
        <v>52</v>
      </c>
      <c r="P63" s="5">
        <v>29</v>
      </c>
      <c r="Q63" s="5">
        <v>13</v>
      </c>
      <c r="R63" s="5">
        <v>39</v>
      </c>
      <c r="S63" s="5">
        <v>16</v>
      </c>
      <c r="T63" s="5">
        <v>23</v>
      </c>
      <c r="U63" s="5">
        <v>37</v>
      </c>
      <c r="V63" s="81">
        <v>44.83</v>
      </c>
      <c r="W63" s="81">
        <v>32.91</v>
      </c>
      <c r="X63" s="81">
        <v>25</v>
      </c>
      <c r="Y63" s="81">
        <v>25.49</v>
      </c>
      <c r="Z63" s="5" t="s">
        <v>130</v>
      </c>
      <c r="AA63" s="5" t="s">
        <v>88</v>
      </c>
      <c r="AB63" s="5" t="s">
        <v>89</v>
      </c>
      <c r="AC63" s="5" t="s">
        <v>173</v>
      </c>
    </row>
    <row r="64" spans="1:29">
      <c r="A64" s="5">
        <v>4</v>
      </c>
      <c r="B64" s="5" t="s">
        <v>52</v>
      </c>
      <c r="C64" s="5" t="s">
        <v>53</v>
      </c>
      <c r="D64" s="5" t="s">
        <v>53</v>
      </c>
      <c r="E64" s="5">
        <v>3</v>
      </c>
      <c r="F64" s="5" t="s">
        <v>93</v>
      </c>
      <c r="G64" s="81">
        <v>63.16</v>
      </c>
      <c r="H64" s="81">
        <v>28.57</v>
      </c>
      <c r="I64" s="81">
        <v>39.34</v>
      </c>
      <c r="J64" s="82">
        <f t="shared" si="0"/>
        <v>39.3433162542244</v>
      </c>
      <c r="K64" s="11">
        <f t="shared" si="1"/>
        <v>0.00331625422435167</v>
      </c>
      <c r="L64" s="5">
        <v>4</v>
      </c>
      <c r="M64" s="5">
        <v>67</v>
      </c>
      <c r="N64" s="5">
        <v>42</v>
      </c>
      <c r="O64" s="5">
        <v>42</v>
      </c>
      <c r="P64" s="5">
        <v>19</v>
      </c>
      <c r="Q64" s="5">
        <v>12</v>
      </c>
      <c r="R64" s="5">
        <v>30</v>
      </c>
      <c r="S64" s="5">
        <v>7</v>
      </c>
      <c r="T64" s="5">
        <v>23</v>
      </c>
      <c r="U64" s="5">
        <v>30</v>
      </c>
      <c r="V64" s="81">
        <v>63.16</v>
      </c>
      <c r="W64" s="81">
        <v>39.34</v>
      </c>
      <c r="X64" s="81">
        <v>28.57</v>
      </c>
      <c r="Y64" s="81">
        <v>28.57</v>
      </c>
      <c r="Z64" s="5" t="s">
        <v>130</v>
      </c>
      <c r="AA64" s="5" t="s">
        <v>88</v>
      </c>
      <c r="AB64" s="5" t="s">
        <v>89</v>
      </c>
      <c r="AC64" s="5" t="s">
        <v>174</v>
      </c>
    </row>
    <row r="65" spans="1:29">
      <c r="A65" s="5">
        <v>4</v>
      </c>
      <c r="B65" s="5" t="s">
        <v>52</v>
      </c>
      <c r="C65" s="5" t="s">
        <v>53</v>
      </c>
      <c r="D65" s="5" t="s">
        <v>53</v>
      </c>
      <c r="E65" s="5">
        <v>4</v>
      </c>
      <c r="F65" s="5" t="s">
        <v>95</v>
      </c>
      <c r="G65" s="81">
        <v>60</v>
      </c>
      <c r="H65" s="81">
        <v>33.33</v>
      </c>
      <c r="I65" s="81">
        <v>42.86</v>
      </c>
      <c r="J65" s="82">
        <f t="shared" si="0"/>
        <v>42.854387656702</v>
      </c>
      <c r="K65" s="11">
        <f t="shared" si="1"/>
        <v>-0.005612343297976</v>
      </c>
      <c r="L65" s="5">
        <v>3</v>
      </c>
      <c r="M65" s="5">
        <v>19</v>
      </c>
      <c r="N65" s="5">
        <v>9</v>
      </c>
      <c r="O65" s="5">
        <v>55</v>
      </c>
      <c r="P65" s="5">
        <v>5</v>
      </c>
      <c r="Q65" s="5">
        <v>3</v>
      </c>
      <c r="R65" s="5">
        <v>52</v>
      </c>
      <c r="S65" s="5">
        <v>2</v>
      </c>
      <c r="T65" s="5">
        <v>50</v>
      </c>
      <c r="U65" s="5">
        <v>6</v>
      </c>
      <c r="V65" s="81">
        <v>60</v>
      </c>
      <c r="W65" s="81">
        <v>42.86</v>
      </c>
      <c r="X65" s="81">
        <v>5.45</v>
      </c>
      <c r="Y65" s="81">
        <v>9.38</v>
      </c>
      <c r="Z65" s="5" t="s">
        <v>130</v>
      </c>
      <c r="AA65" s="5" t="s">
        <v>88</v>
      </c>
      <c r="AB65" s="5" t="s">
        <v>89</v>
      </c>
      <c r="AC65" s="5" t="s">
        <v>175</v>
      </c>
    </row>
    <row r="66" spans="1:29">
      <c r="A66" s="5">
        <v>4</v>
      </c>
      <c r="B66" s="5" t="s">
        <v>52</v>
      </c>
      <c r="C66" s="5" t="s">
        <v>53</v>
      </c>
      <c r="D66" s="5" t="s">
        <v>53</v>
      </c>
      <c r="E66" s="5">
        <v>5</v>
      </c>
      <c r="F66" s="5" t="s">
        <v>97</v>
      </c>
      <c r="G66" s="81">
        <v>70</v>
      </c>
      <c r="H66" s="81">
        <v>63.64</v>
      </c>
      <c r="I66" s="81">
        <v>66.67</v>
      </c>
      <c r="J66" s="82">
        <f t="shared" ref="J66:J121" si="2">IF(OR(G66="",H66="",G66+H66=0),"",2*G66*H66/(G66+H66))</f>
        <v>66.6686620772224</v>
      </c>
      <c r="K66" s="11">
        <f t="shared" ref="K66:K121" si="3">IF(OR(I66="",J66=""),"",J66-I66)</f>
        <v>-0.00133792277760847</v>
      </c>
      <c r="L66" s="5">
        <v>3</v>
      </c>
      <c r="M66" s="5">
        <v>66</v>
      </c>
      <c r="N66" s="5">
        <v>22</v>
      </c>
      <c r="O66" s="5">
        <v>43</v>
      </c>
      <c r="P66" s="5">
        <v>20</v>
      </c>
      <c r="Q66" s="5">
        <v>14</v>
      </c>
      <c r="R66" s="5">
        <v>29</v>
      </c>
      <c r="S66" s="5">
        <v>6</v>
      </c>
      <c r="T66" s="5">
        <v>23</v>
      </c>
      <c r="U66" s="5">
        <v>8</v>
      </c>
      <c r="V66" s="81">
        <v>70</v>
      </c>
      <c r="W66" s="81">
        <v>66.67</v>
      </c>
      <c r="X66" s="81">
        <v>32.56</v>
      </c>
      <c r="Y66" s="81">
        <v>43.08</v>
      </c>
      <c r="Z66" s="5" t="s">
        <v>130</v>
      </c>
      <c r="AA66" s="5" t="s">
        <v>88</v>
      </c>
      <c r="AB66" s="5" t="s">
        <v>89</v>
      </c>
      <c r="AC66" s="5" t="s">
        <v>176</v>
      </c>
    </row>
    <row r="67" spans="1:29">
      <c r="A67" s="5">
        <v>4</v>
      </c>
      <c r="B67" s="5" t="s">
        <v>52</v>
      </c>
      <c r="C67" s="5" t="s">
        <v>53</v>
      </c>
      <c r="D67" s="5" t="s">
        <v>53</v>
      </c>
      <c r="E67" s="5">
        <v>6</v>
      </c>
      <c r="F67" s="5" t="s">
        <v>99</v>
      </c>
      <c r="G67" s="81">
        <v>61.9</v>
      </c>
      <c r="H67" s="81">
        <v>23.21</v>
      </c>
      <c r="I67" s="81">
        <v>33.77</v>
      </c>
      <c r="J67" s="82">
        <f t="shared" si="2"/>
        <v>33.7609916578545</v>
      </c>
      <c r="K67" s="11">
        <f t="shared" si="3"/>
        <v>-0.00900834214546364</v>
      </c>
      <c r="L67" s="5">
        <v>4</v>
      </c>
      <c r="M67" s="5">
        <v>128</v>
      </c>
      <c r="N67" s="5">
        <v>56</v>
      </c>
      <c r="O67" s="5">
        <v>41</v>
      </c>
      <c r="P67" s="5">
        <v>21</v>
      </c>
      <c r="Q67" s="5">
        <v>13</v>
      </c>
      <c r="R67" s="5">
        <v>28</v>
      </c>
      <c r="S67" s="5">
        <v>8</v>
      </c>
      <c r="T67" s="5">
        <v>20</v>
      </c>
      <c r="U67" s="5">
        <v>43</v>
      </c>
      <c r="V67" s="81">
        <v>61.9</v>
      </c>
      <c r="W67" s="81">
        <v>33.77</v>
      </c>
      <c r="X67" s="81">
        <v>31.71</v>
      </c>
      <c r="Y67" s="81">
        <v>26.8</v>
      </c>
      <c r="Z67" s="5" t="s">
        <v>130</v>
      </c>
      <c r="AA67" s="5" t="s">
        <v>88</v>
      </c>
      <c r="AB67" s="5" t="s">
        <v>89</v>
      </c>
      <c r="AC67" s="5" t="s">
        <v>177</v>
      </c>
    </row>
    <row r="68" spans="1:29">
      <c r="A68" s="5">
        <v>4</v>
      </c>
      <c r="B68" s="5" t="s">
        <v>52</v>
      </c>
      <c r="C68" s="5" t="s">
        <v>53</v>
      </c>
      <c r="D68" s="5" t="s">
        <v>53</v>
      </c>
      <c r="E68" s="5">
        <v>9</v>
      </c>
      <c r="F68" s="5" t="s">
        <v>101</v>
      </c>
      <c r="G68" s="81">
        <v>50</v>
      </c>
      <c r="H68" s="81">
        <v>13.64</v>
      </c>
      <c r="I68" s="81">
        <v>21.43</v>
      </c>
      <c r="J68" s="82">
        <f t="shared" si="2"/>
        <v>21.4330609679447</v>
      </c>
      <c r="K68" s="11">
        <f t="shared" si="3"/>
        <v>0.00306096794468758</v>
      </c>
      <c r="L68" s="5">
        <v>5</v>
      </c>
      <c r="M68" s="5">
        <v>155</v>
      </c>
      <c r="N68" s="5">
        <v>66</v>
      </c>
      <c r="O68" s="5">
        <v>42</v>
      </c>
      <c r="P68" s="5">
        <v>18</v>
      </c>
      <c r="Q68" s="5">
        <v>9</v>
      </c>
      <c r="R68" s="5">
        <v>33</v>
      </c>
      <c r="S68" s="5">
        <v>9</v>
      </c>
      <c r="T68" s="5">
        <v>24</v>
      </c>
      <c r="U68" s="5">
        <v>57</v>
      </c>
      <c r="V68" s="81">
        <v>50</v>
      </c>
      <c r="W68" s="81">
        <v>21.43</v>
      </c>
      <c r="X68" s="81">
        <v>21.43</v>
      </c>
      <c r="Y68" s="81">
        <v>16.67</v>
      </c>
      <c r="Z68" s="5" t="s">
        <v>130</v>
      </c>
      <c r="AA68" s="5" t="s">
        <v>88</v>
      </c>
      <c r="AB68" s="5" t="s">
        <v>89</v>
      </c>
      <c r="AC68" s="5" t="s">
        <v>178</v>
      </c>
    </row>
    <row r="69" spans="1:29">
      <c r="A69" s="5">
        <v>4</v>
      </c>
      <c r="B69" s="5" t="s">
        <v>52</v>
      </c>
      <c r="C69" s="5" t="s">
        <v>53</v>
      </c>
      <c r="D69" s="5" t="s">
        <v>53</v>
      </c>
      <c r="E69" s="5">
        <v>11</v>
      </c>
      <c r="F69" s="5" t="s">
        <v>103</v>
      </c>
      <c r="G69" s="81">
        <v>100</v>
      </c>
      <c r="H69" s="81">
        <v>33.33</v>
      </c>
      <c r="I69" s="81">
        <v>50</v>
      </c>
      <c r="J69" s="82">
        <f t="shared" si="2"/>
        <v>49.9962499062477</v>
      </c>
      <c r="K69" s="11">
        <f t="shared" si="3"/>
        <v>-0.00375009375233759</v>
      </c>
      <c r="L69" s="5">
        <v>3</v>
      </c>
      <c r="M69" s="5">
        <v>60</v>
      </c>
      <c r="N69" s="5">
        <v>15</v>
      </c>
      <c r="O69" s="5">
        <v>21</v>
      </c>
      <c r="P69" s="5">
        <v>5</v>
      </c>
      <c r="Q69" s="5">
        <v>5</v>
      </c>
      <c r="R69" s="5">
        <v>16</v>
      </c>
      <c r="S69" s="5">
        <v>0</v>
      </c>
      <c r="T69" s="5">
        <v>16</v>
      </c>
      <c r="U69" s="5">
        <v>10</v>
      </c>
      <c r="V69" s="81">
        <v>100</v>
      </c>
      <c r="W69" s="81">
        <v>50</v>
      </c>
      <c r="X69" s="81">
        <v>23.81</v>
      </c>
      <c r="Y69" s="81">
        <v>27.78</v>
      </c>
      <c r="Z69" s="5" t="s">
        <v>130</v>
      </c>
      <c r="AA69" s="5" t="s">
        <v>88</v>
      </c>
      <c r="AB69" s="5" t="s">
        <v>89</v>
      </c>
      <c r="AC69" s="5" t="s">
        <v>179</v>
      </c>
    </row>
    <row r="70" spans="1:29">
      <c r="A70" s="5">
        <v>4</v>
      </c>
      <c r="B70" s="5" t="s">
        <v>52</v>
      </c>
      <c r="C70" s="5" t="s">
        <v>53</v>
      </c>
      <c r="D70" s="5" t="s">
        <v>53</v>
      </c>
      <c r="E70" s="5">
        <v>20</v>
      </c>
      <c r="F70" s="5" t="s">
        <v>105</v>
      </c>
      <c r="G70" s="81">
        <v>69.57</v>
      </c>
      <c r="H70" s="81">
        <v>24.24</v>
      </c>
      <c r="I70" s="81">
        <v>35.96</v>
      </c>
      <c r="J70" s="82">
        <f t="shared" si="2"/>
        <v>35.9530284617845</v>
      </c>
      <c r="K70" s="11">
        <f t="shared" si="3"/>
        <v>-0.00697153821554508</v>
      </c>
      <c r="L70" s="5">
        <v>3</v>
      </c>
      <c r="M70" s="5">
        <v>133</v>
      </c>
      <c r="N70" s="5">
        <v>66</v>
      </c>
      <c r="O70" s="5">
        <v>51</v>
      </c>
      <c r="P70" s="5">
        <v>23</v>
      </c>
      <c r="Q70" s="5">
        <v>16</v>
      </c>
      <c r="R70" s="5">
        <v>35</v>
      </c>
      <c r="S70" s="5">
        <v>7</v>
      </c>
      <c r="T70" s="5">
        <v>28</v>
      </c>
      <c r="U70" s="5">
        <v>50</v>
      </c>
      <c r="V70" s="81">
        <v>69.57</v>
      </c>
      <c r="W70" s="81">
        <v>35.96</v>
      </c>
      <c r="X70" s="81">
        <v>31.37</v>
      </c>
      <c r="Y70" s="81">
        <v>27.35</v>
      </c>
      <c r="Z70" s="5" t="s">
        <v>130</v>
      </c>
      <c r="AA70" s="5" t="s">
        <v>88</v>
      </c>
      <c r="AB70" s="5" t="s">
        <v>89</v>
      </c>
      <c r="AC70" s="5" t="s">
        <v>180</v>
      </c>
    </row>
    <row r="71" spans="1:29">
      <c r="A71" s="5">
        <v>4</v>
      </c>
      <c r="B71" s="5" t="s">
        <v>52</v>
      </c>
      <c r="C71" s="5" t="s">
        <v>53</v>
      </c>
      <c r="D71" s="5" t="s">
        <v>53</v>
      </c>
      <c r="E71" s="5">
        <v>22</v>
      </c>
      <c r="F71" s="5" t="s">
        <v>107</v>
      </c>
      <c r="G71" s="81">
        <v>61.54</v>
      </c>
      <c r="H71" s="81">
        <v>33.33</v>
      </c>
      <c r="I71" s="81">
        <v>43.24</v>
      </c>
      <c r="J71" s="82">
        <f t="shared" si="2"/>
        <v>43.2408179614209</v>
      </c>
      <c r="K71" s="11">
        <f t="shared" si="3"/>
        <v>0.000817961420878532</v>
      </c>
      <c r="L71" s="5">
        <v>2</v>
      </c>
      <c r="M71" s="5">
        <v>53</v>
      </c>
      <c r="N71" s="5">
        <v>24</v>
      </c>
      <c r="O71" s="5">
        <v>27</v>
      </c>
      <c r="P71" s="5">
        <v>13</v>
      </c>
      <c r="Q71" s="5">
        <v>8</v>
      </c>
      <c r="R71" s="5">
        <v>19</v>
      </c>
      <c r="S71" s="5">
        <v>5</v>
      </c>
      <c r="T71" s="5">
        <v>14</v>
      </c>
      <c r="U71" s="5">
        <v>16</v>
      </c>
      <c r="V71" s="81">
        <v>61.54</v>
      </c>
      <c r="W71" s="81">
        <v>43.24</v>
      </c>
      <c r="X71" s="81">
        <v>29.63</v>
      </c>
      <c r="Y71" s="81">
        <v>31.37</v>
      </c>
      <c r="Z71" s="5" t="s">
        <v>130</v>
      </c>
      <c r="AA71" s="5" t="s">
        <v>88</v>
      </c>
      <c r="AB71" s="5" t="s">
        <v>89</v>
      </c>
      <c r="AC71" s="5" t="s">
        <v>181</v>
      </c>
    </row>
    <row r="72" spans="1:29">
      <c r="A72" s="5">
        <v>4</v>
      </c>
      <c r="B72" s="5" t="s">
        <v>52</v>
      </c>
      <c r="C72" s="5" t="s">
        <v>53</v>
      </c>
      <c r="D72" s="5" t="s">
        <v>53</v>
      </c>
      <c r="E72" s="5">
        <v>26</v>
      </c>
      <c r="F72" s="5" t="s">
        <v>109</v>
      </c>
      <c r="G72" s="81">
        <v>78.57</v>
      </c>
      <c r="H72" s="81">
        <v>30.56</v>
      </c>
      <c r="I72" s="81">
        <v>44</v>
      </c>
      <c r="J72" s="82">
        <f t="shared" si="2"/>
        <v>44.0043837624851</v>
      </c>
      <c r="K72" s="11">
        <f t="shared" si="3"/>
        <v>0.00438376248510508</v>
      </c>
      <c r="L72" s="5">
        <v>2</v>
      </c>
      <c r="M72" s="5">
        <v>136</v>
      </c>
      <c r="N72" s="5">
        <v>72</v>
      </c>
      <c r="O72" s="5">
        <v>44</v>
      </c>
      <c r="P72" s="5">
        <v>28</v>
      </c>
      <c r="Q72" s="5">
        <v>22</v>
      </c>
      <c r="R72" s="5">
        <v>22</v>
      </c>
      <c r="S72" s="5">
        <v>6</v>
      </c>
      <c r="T72" s="5">
        <v>16</v>
      </c>
      <c r="U72" s="5">
        <v>50</v>
      </c>
      <c r="V72" s="81">
        <v>78.57</v>
      </c>
      <c r="W72" s="81">
        <v>44</v>
      </c>
      <c r="X72" s="81">
        <v>50</v>
      </c>
      <c r="Y72" s="81">
        <v>37.93</v>
      </c>
      <c r="Z72" s="5" t="s">
        <v>130</v>
      </c>
      <c r="AA72" s="5" t="s">
        <v>88</v>
      </c>
      <c r="AB72" s="5" t="s">
        <v>89</v>
      </c>
      <c r="AC72" s="5" t="s">
        <v>182</v>
      </c>
    </row>
    <row r="73" spans="1:29">
      <c r="A73" s="5">
        <v>4</v>
      </c>
      <c r="B73" s="5" t="s">
        <v>52</v>
      </c>
      <c r="C73" s="5" t="s">
        <v>53</v>
      </c>
      <c r="D73" s="5" t="s">
        <v>53</v>
      </c>
      <c r="E73" s="5">
        <v>44</v>
      </c>
      <c r="F73" s="5" t="s">
        <v>111</v>
      </c>
      <c r="G73" s="81">
        <v>89.8</v>
      </c>
      <c r="H73" s="81">
        <v>53.01</v>
      </c>
      <c r="I73" s="81">
        <v>66.67</v>
      </c>
      <c r="J73" s="82">
        <f t="shared" si="2"/>
        <v>66.6661718367061</v>
      </c>
      <c r="K73" s="11">
        <f t="shared" si="3"/>
        <v>-0.00382816329388902</v>
      </c>
      <c r="L73" s="5">
        <v>2</v>
      </c>
      <c r="M73" s="5">
        <v>137</v>
      </c>
      <c r="N73" s="5">
        <v>83</v>
      </c>
      <c r="O73" s="5">
        <v>61</v>
      </c>
      <c r="P73" s="5">
        <v>49</v>
      </c>
      <c r="Q73" s="5">
        <v>44</v>
      </c>
      <c r="R73" s="5">
        <v>17</v>
      </c>
      <c r="S73" s="5">
        <v>5</v>
      </c>
      <c r="T73" s="5">
        <v>12</v>
      </c>
      <c r="U73" s="5">
        <v>39</v>
      </c>
      <c r="V73" s="81">
        <v>89.8</v>
      </c>
      <c r="W73" s="81">
        <v>66.67</v>
      </c>
      <c r="X73" s="81">
        <v>72.13</v>
      </c>
      <c r="Y73" s="81">
        <v>61.11</v>
      </c>
      <c r="Z73" s="5" t="s">
        <v>130</v>
      </c>
      <c r="AA73" s="5" t="s">
        <v>88</v>
      </c>
      <c r="AB73" s="5" t="s">
        <v>89</v>
      </c>
      <c r="AC73" s="5" t="s">
        <v>183</v>
      </c>
    </row>
    <row r="74" spans="1:29">
      <c r="A74" s="5">
        <v>4</v>
      </c>
      <c r="B74" s="5" t="s">
        <v>52</v>
      </c>
      <c r="C74" s="5" t="s">
        <v>53</v>
      </c>
      <c r="D74" s="5" t="s">
        <v>53</v>
      </c>
      <c r="E74" s="5">
        <v>53</v>
      </c>
      <c r="F74" s="5" t="s">
        <v>113</v>
      </c>
      <c r="G74" s="81">
        <v>76.19</v>
      </c>
      <c r="H74" s="81">
        <v>40</v>
      </c>
      <c r="I74" s="81">
        <v>52.46</v>
      </c>
      <c r="J74" s="82">
        <f t="shared" si="2"/>
        <v>52.4589035200964</v>
      </c>
      <c r="K74" s="11">
        <f t="shared" si="3"/>
        <v>-0.00109647990360884</v>
      </c>
      <c r="L74" s="5">
        <v>5</v>
      </c>
      <c r="M74" s="5">
        <v>84</v>
      </c>
      <c r="N74" s="5">
        <v>40</v>
      </c>
      <c r="O74" s="5">
        <v>40</v>
      </c>
      <c r="P74" s="5">
        <v>21</v>
      </c>
      <c r="Q74" s="5">
        <v>16</v>
      </c>
      <c r="R74" s="5">
        <v>24</v>
      </c>
      <c r="S74" s="5">
        <v>5</v>
      </c>
      <c r="T74" s="5">
        <v>19</v>
      </c>
      <c r="U74" s="5">
        <v>24</v>
      </c>
      <c r="V74" s="81">
        <v>76.19</v>
      </c>
      <c r="W74" s="81">
        <v>52.46</v>
      </c>
      <c r="X74" s="81">
        <v>40</v>
      </c>
      <c r="Y74" s="81">
        <v>40</v>
      </c>
      <c r="Z74" s="5" t="s">
        <v>130</v>
      </c>
      <c r="AA74" s="5" t="s">
        <v>88</v>
      </c>
      <c r="AB74" s="5" t="s">
        <v>89</v>
      </c>
      <c r="AC74" s="5" t="s">
        <v>184</v>
      </c>
    </row>
    <row r="75" spans="1:29">
      <c r="A75" s="5">
        <v>4</v>
      </c>
      <c r="B75" s="5" t="s">
        <v>52</v>
      </c>
      <c r="C75" s="5" t="s">
        <v>53</v>
      </c>
      <c r="D75" s="5" t="s">
        <v>53</v>
      </c>
      <c r="E75" s="5">
        <v>145</v>
      </c>
      <c r="F75" s="5" t="s">
        <v>115</v>
      </c>
      <c r="G75" s="81">
        <v>50</v>
      </c>
      <c r="H75" s="81">
        <v>15.38</v>
      </c>
      <c r="I75" s="81">
        <v>23.53</v>
      </c>
      <c r="J75" s="82">
        <f t="shared" si="2"/>
        <v>23.5240134597736</v>
      </c>
      <c r="K75" s="11">
        <f t="shared" si="3"/>
        <v>-0.0059865402263668</v>
      </c>
      <c r="L75" s="5">
        <v>6</v>
      </c>
      <c r="M75" s="5">
        <v>64</v>
      </c>
      <c r="N75" s="5">
        <v>26</v>
      </c>
      <c r="O75" s="5">
        <v>34</v>
      </c>
      <c r="P75" s="5">
        <v>8</v>
      </c>
      <c r="Q75" s="5">
        <v>4</v>
      </c>
      <c r="R75" s="5">
        <v>30</v>
      </c>
      <c r="S75" s="5">
        <v>4</v>
      </c>
      <c r="T75" s="5">
        <v>26</v>
      </c>
      <c r="U75" s="5">
        <v>22</v>
      </c>
      <c r="V75" s="81">
        <v>50</v>
      </c>
      <c r="W75" s="81">
        <v>23.53</v>
      </c>
      <c r="X75" s="81">
        <v>11.76</v>
      </c>
      <c r="Y75" s="81">
        <v>13.33</v>
      </c>
      <c r="Z75" s="5" t="s">
        <v>130</v>
      </c>
      <c r="AA75" s="5" t="s">
        <v>88</v>
      </c>
      <c r="AB75" s="5" t="s">
        <v>89</v>
      </c>
      <c r="AC75" s="5" t="s">
        <v>185</v>
      </c>
    </row>
    <row r="76" spans="1:29">
      <c r="A76" s="5">
        <v>4</v>
      </c>
      <c r="B76" s="5" t="s">
        <v>52</v>
      </c>
      <c r="C76" s="5" t="s">
        <v>53</v>
      </c>
      <c r="D76" s="5" t="s">
        <v>53</v>
      </c>
      <c r="E76" s="5">
        <v>147</v>
      </c>
      <c r="F76" s="5" t="s">
        <v>117</v>
      </c>
      <c r="G76" s="81">
        <v>86.49</v>
      </c>
      <c r="H76" s="81">
        <v>57.14</v>
      </c>
      <c r="I76" s="81">
        <v>68.82</v>
      </c>
      <c r="J76" s="82">
        <f t="shared" si="2"/>
        <v>68.8162445171621</v>
      </c>
      <c r="K76" s="11">
        <f t="shared" si="3"/>
        <v>-0.0037554828378461</v>
      </c>
      <c r="L76" s="5">
        <v>3</v>
      </c>
      <c r="M76" s="5">
        <v>90</v>
      </c>
      <c r="N76" s="5">
        <v>56</v>
      </c>
      <c r="O76" s="5">
        <v>61</v>
      </c>
      <c r="P76" s="5">
        <v>37</v>
      </c>
      <c r="Q76" s="5">
        <v>32</v>
      </c>
      <c r="R76" s="5">
        <v>29</v>
      </c>
      <c r="S76" s="5">
        <v>5</v>
      </c>
      <c r="T76" s="5">
        <v>24</v>
      </c>
      <c r="U76" s="5">
        <v>24</v>
      </c>
      <c r="V76" s="81">
        <v>86.49</v>
      </c>
      <c r="W76" s="81">
        <v>68.82</v>
      </c>
      <c r="X76" s="81">
        <v>52.46</v>
      </c>
      <c r="Y76" s="81">
        <v>54.7</v>
      </c>
      <c r="Z76" s="5" t="s">
        <v>130</v>
      </c>
      <c r="AA76" s="5" t="s">
        <v>88</v>
      </c>
      <c r="AB76" s="5" t="s">
        <v>89</v>
      </c>
      <c r="AC76" s="5" t="s">
        <v>186</v>
      </c>
    </row>
    <row r="77" spans="1:29">
      <c r="A77" s="5">
        <v>4</v>
      </c>
      <c r="B77" s="5" t="s">
        <v>52</v>
      </c>
      <c r="C77" s="5" t="s">
        <v>53</v>
      </c>
      <c r="D77" s="5" t="s">
        <v>53</v>
      </c>
      <c r="E77" s="5">
        <v>454</v>
      </c>
      <c r="F77" s="5" t="s">
        <v>119</v>
      </c>
      <c r="G77" s="81">
        <v>50</v>
      </c>
      <c r="H77" s="81">
        <v>50</v>
      </c>
      <c r="I77" s="81">
        <v>50</v>
      </c>
      <c r="J77" s="82">
        <f t="shared" si="2"/>
        <v>50</v>
      </c>
      <c r="K77" s="11">
        <f t="shared" si="3"/>
        <v>0</v>
      </c>
      <c r="L77" s="5">
        <v>6</v>
      </c>
      <c r="M77" s="5">
        <v>26</v>
      </c>
      <c r="N77" s="5">
        <v>6</v>
      </c>
      <c r="O77" s="5">
        <v>9</v>
      </c>
      <c r="P77" s="5">
        <v>6</v>
      </c>
      <c r="Q77" s="5">
        <v>3</v>
      </c>
      <c r="R77" s="5">
        <v>6</v>
      </c>
      <c r="S77" s="5">
        <v>3</v>
      </c>
      <c r="T77" s="5">
        <v>3</v>
      </c>
      <c r="U77" s="5">
        <v>3</v>
      </c>
      <c r="V77" s="81">
        <v>50</v>
      </c>
      <c r="W77" s="81">
        <v>50</v>
      </c>
      <c r="X77" s="81">
        <v>33.33</v>
      </c>
      <c r="Y77" s="81">
        <v>40</v>
      </c>
      <c r="Z77" s="5" t="s">
        <v>130</v>
      </c>
      <c r="AA77" s="5" t="s">
        <v>88</v>
      </c>
      <c r="AB77" s="5" t="s">
        <v>89</v>
      </c>
      <c r="AC77" s="5" t="s">
        <v>187</v>
      </c>
    </row>
    <row r="78" spans="1:29">
      <c r="A78" s="5">
        <v>4</v>
      </c>
      <c r="B78" s="5" t="s">
        <v>52</v>
      </c>
      <c r="C78" s="5" t="s">
        <v>53</v>
      </c>
      <c r="D78" s="5" t="s">
        <v>53</v>
      </c>
      <c r="E78" s="5">
        <v>482</v>
      </c>
      <c r="F78" s="5" t="s">
        <v>121</v>
      </c>
      <c r="G78" s="81">
        <v>25</v>
      </c>
      <c r="H78" s="81">
        <v>20</v>
      </c>
      <c r="I78" s="81">
        <v>22.22</v>
      </c>
      <c r="J78" s="82">
        <f t="shared" si="2"/>
        <v>22.2222222222222</v>
      </c>
      <c r="K78" s="11">
        <f t="shared" si="3"/>
        <v>0.00222222222222257</v>
      </c>
      <c r="L78" s="5">
        <v>6</v>
      </c>
      <c r="M78" s="5">
        <v>16</v>
      </c>
      <c r="N78" s="5">
        <v>10</v>
      </c>
      <c r="O78" s="5">
        <v>8</v>
      </c>
      <c r="P78" s="5">
        <v>8</v>
      </c>
      <c r="Q78" s="5">
        <v>2</v>
      </c>
      <c r="R78" s="5">
        <v>6</v>
      </c>
      <c r="S78" s="5">
        <v>6</v>
      </c>
      <c r="T78" s="5">
        <v>0</v>
      </c>
      <c r="U78" s="5">
        <v>8</v>
      </c>
      <c r="V78" s="81">
        <v>25</v>
      </c>
      <c r="W78" s="81">
        <v>22.22</v>
      </c>
      <c r="X78" s="81">
        <v>25</v>
      </c>
      <c r="Y78" s="81">
        <v>22.22</v>
      </c>
      <c r="Z78" s="5" t="s">
        <v>130</v>
      </c>
      <c r="AA78" s="5" t="s">
        <v>88</v>
      </c>
      <c r="AB78" s="5" t="s">
        <v>89</v>
      </c>
      <c r="AC78" s="5" t="s">
        <v>188</v>
      </c>
    </row>
    <row r="79" spans="1:29">
      <c r="A79" s="5">
        <v>4</v>
      </c>
      <c r="B79" s="5" t="s">
        <v>52</v>
      </c>
      <c r="C79" s="5" t="s">
        <v>53</v>
      </c>
      <c r="D79" s="5" t="s">
        <v>53</v>
      </c>
      <c r="E79" s="5">
        <v>1053</v>
      </c>
      <c r="F79" s="5" t="s">
        <v>123</v>
      </c>
      <c r="G79" s="81">
        <v>50</v>
      </c>
      <c r="H79" s="81">
        <v>33.33</v>
      </c>
      <c r="I79" s="81">
        <v>40</v>
      </c>
      <c r="J79" s="82">
        <f t="shared" si="2"/>
        <v>39.9975999039962</v>
      </c>
      <c r="K79" s="11">
        <f t="shared" si="3"/>
        <v>-0.00240009600383928</v>
      </c>
      <c r="L79" s="5">
        <v>3</v>
      </c>
      <c r="M79" s="5">
        <v>37</v>
      </c>
      <c r="N79" s="5">
        <v>3</v>
      </c>
      <c r="O79" s="5">
        <v>9</v>
      </c>
      <c r="P79" s="5">
        <v>2</v>
      </c>
      <c r="Q79" s="5">
        <v>1</v>
      </c>
      <c r="R79" s="5">
        <v>8</v>
      </c>
      <c r="S79" s="5">
        <v>1</v>
      </c>
      <c r="T79" s="5">
        <v>7</v>
      </c>
      <c r="U79" s="5">
        <v>2</v>
      </c>
      <c r="V79" s="81">
        <v>50</v>
      </c>
      <c r="W79" s="81">
        <v>40</v>
      </c>
      <c r="X79" s="81">
        <v>11.11</v>
      </c>
      <c r="Y79" s="81">
        <v>16.67</v>
      </c>
      <c r="Z79" s="5" t="s">
        <v>130</v>
      </c>
      <c r="AA79" s="5" t="s">
        <v>88</v>
      </c>
      <c r="AB79" s="5" t="s">
        <v>89</v>
      </c>
      <c r="AC79" s="5" t="s">
        <v>189</v>
      </c>
    </row>
    <row r="80" spans="1:29">
      <c r="A80" s="5">
        <v>4</v>
      </c>
      <c r="B80" s="5" t="s">
        <v>52</v>
      </c>
      <c r="C80" s="5" t="s">
        <v>53</v>
      </c>
      <c r="D80" s="5" t="s">
        <v>53</v>
      </c>
      <c r="E80" s="5">
        <v>1083</v>
      </c>
      <c r="F80" s="5" t="s">
        <v>125</v>
      </c>
      <c r="G80" s="81">
        <v>93.75</v>
      </c>
      <c r="H80" s="81">
        <v>90.91</v>
      </c>
      <c r="I80" s="81">
        <v>92.31</v>
      </c>
      <c r="J80" s="82">
        <f t="shared" si="2"/>
        <v>92.3081609444384</v>
      </c>
      <c r="K80" s="11">
        <f t="shared" si="3"/>
        <v>-0.00183905556157526</v>
      </c>
      <c r="L80" s="5">
        <v>4</v>
      </c>
      <c r="M80" s="5">
        <v>46</v>
      </c>
      <c r="N80" s="5">
        <v>33</v>
      </c>
      <c r="O80" s="5">
        <v>40</v>
      </c>
      <c r="P80" s="5">
        <v>32</v>
      </c>
      <c r="Q80" s="5">
        <v>30</v>
      </c>
      <c r="R80" s="5">
        <v>10</v>
      </c>
      <c r="S80" s="5">
        <v>2</v>
      </c>
      <c r="T80" s="5">
        <v>8</v>
      </c>
      <c r="U80" s="5">
        <v>3</v>
      </c>
      <c r="V80" s="81">
        <v>93.75</v>
      </c>
      <c r="W80" s="81">
        <v>92.31</v>
      </c>
      <c r="X80" s="81">
        <v>75</v>
      </c>
      <c r="Y80" s="81">
        <v>82.19</v>
      </c>
      <c r="Z80" s="5" t="s">
        <v>130</v>
      </c>
      <c r="AA80" s="5" t="s">
        <v>88</v>
      </c>
      <c r="AB80" s="5" t="s">
        <v>89</v>
      </c>
      <c r="AC80" s="5" t="s">
        <v>190</v>
      </c>
    </row>
    <row r="81" spans="1:29">
      <c r="A81" s="5">
        <v>4</v>
      </c>
      <c r="B81" s="5" t="s">
        <v>52</v>
      </c>
      <c r="C81" s="5" t="s">
        <v>53</v>
      </c>
      <c r="D81" s="5" t="s">
        <v>53</v>
      </c>
      <c r="E81" s="5">
        <v>1491</v>
      </c>
      <c r="F81" s="5" t="s">
        <v>127</v>
      </c>
      <c r="G81" s="81">
        <v>81.82</v>
      </c>
      <c r="H81" s="81">
        <v>75</v>
      </c>
      <c r="I81" s="81">
        <v>78.26</v>
      </c>
      <c r="J81" s="82">
        <f t="shared" si="2"/>
        <v>78.2617013136079</v>
      </c>
      <c r="K81" s="11">
        <f t="shared" si="3"/>
        <v>0.00170131360793846</v>
      </c>
      <c r="L81" s="5">
        <v>3</v>
      </c>
      <c r="M81" s="5">
        <v>19</v>
      </c>
      <c r="N81" s="5">
        <v>12</v>
      </c>
      <c r="O81" s="5">
        <v>18</v>
      </c>
      <c r="P81" s="5">
        <v>11</v>
      </c>
      <c r="Q81" s="5">
        <v>9</v>
      </c>
      <c r="R81" s="5">
        <v>9</v>
      </c>
      <c r="S81" s="5">
        <v>2</v>
      </c>
      <c r="T81" s="5">
        <v>7</v>
      </c>
      <c r="U81" s="5">
        <v>3</v>
      </c>
      <c r="V81" s="81">
        <v>81.82</v>
      </c>
      <c r="W81" s="81">
        <v>78.26</v>
      </c>
      <c r="X81" s="81">
        <v>50</v>
      </c>
      <c r="Y81" s="81">
        <v>60</v>
      </c>
      <c r="Z81" s="5" t="s">
        <v>130</v>
      </c>
      <c r="AA81" s="5" t="s">
        <v>88</v>
      </c>
      <c r="AB81" s="5" t="s">
        <v>89</v>
      </c>
      <c r="AC81" s="5" t="s">
        <v>191</v>
      </c>
    </row>
    <row r="82" spans="1:29">
      <c r="A82" s="5">
        <v>5</v>
      </c>
      <c r="B82" s="5" t="s">
        <v>54</v>
      </c>
      <c r="C82" s="5" t="s">
        <v>55</v>
      </c>
      <c r="D82" s="5" t="s">
        <v>55</v>
      </c>
      <c r="E82" s="5">
        <v>1</v>
      </c>
      <c r="F82" s="5" t="s">
        <v>86</v>
      </c>
      <c r="G82" s="81">
        <v>80.95</v>
      </c>
      <c r="H82" s="81">
        <v>40.48</v>
      </c>
      <c r="I82" s="81">
        <v>53.97</v>
      </c>
      <c r="J82" s="82">
        <f t="shared" si="2"/>
        <v>53.9711109281067</v>
      </c>
      <c r="K82" s="11">
        <f t="shared" si="3"/>
        <v>0.0011109281067192</v>
      </c>
      <c r="L82" s="5">
        <v>5</v>
      </c>
      <c r="M82" s="5">
        <v>57</v>
      </c>
      <c r="N82" s="5">
        <v>42</v>
      </c>
      <c r="O82" s="5">
        <v>37</v>
      </c>
      <c r="P82" s="5">
        <v>21</v>
      </c>
      <c r="Q82" s="5">
        <v>17</v>
      </c>
      <c r="R82" s="5">
        <v>20</v>
      </c>
      <c r="S82" s="5">
        <v>4</v>
      </c>
      <c r="T82" s="5">
        <v>16</v>
      </c>
      <c r="U82" s="5">
        <v>25</v>
      </c>
      <c r="V82" s="81">
        <v>80.95</v>
      </c>
      <c r="W82" s="81">
        <v>53.97</v>
      </c>
      <c r="X82" s="81">
        <v>45.95</v>
      </c>
      <c r="Y82" s="81">
        <v>43.04</v>
      </c>
      <c r="Z82" s="5" t="s">
        <v>130</v>
      </c>
      <c r="AA82" s="5" t="s">
        <v>88</v>
      </c>
      <c r="AB82" s="5" t="s">
        <v>89</v>
      </c>
      <c r="AC82" s="5" t="s">
        <v>192</v>
      </c>
    </row>
    <row r="83" spans="1:29">
      <c r="A83" s="5">
        <v>5</v>
      </c>
      <c r="B83" s="5" t="s">
        <v>54</v>
      </c>
      <c r="C83" s="5" t="s">
        <v>55</v>
      </c>
      <c r="D83" s="5" t="s">
        <v>55</v>
      </c>
      <c r="E83" s="5">
        <v>2</v>
      </c>
      <c r="F83" s="5" t="s">
        <v>91</v>
      </c>
      <c r="G83" s="81">
        <v>72</v>
      </c>
      <c r="H83" s="81">
        <v>36</v>
      </c>
      <c r="I83" s="81">
        <v>48</v>
      </c>
      <c r="J83" s="82">
        <f t="shared" si="2"/>
        <v>48</v>
      </c>
      <c r="K83" s="11">
        <f t="shared" si="3"/>
        <v>0</v>
      </c>
      <c r="L83" s="5">
        <v>3</v>
      </c>
      <c r="M83" s="5">
        <v>113</v>
      </c>
      <c r="N83" s="5">
        <v>50</v>
      </c>
      <c r="O83" s="5">
        <v>49</v>
      </c>
      <c r="P83" s="5">
        <v>25</v>
      </c>
      <c r="Q83" s="5">
        <v>18</v>
      </c>
      <c r="R83" s="5">
        <v>31</v>
      </c>
      <c r="S83" s="5">
        <v>7</v>
      </c>
      <c r="T83" s="5">
        <v>24</v>
      </c>
      <c r="U83" s="5">
        <v>32</v>
      </c>
      <c r="V83" s="81">
        <v>72</v>
      </c>
      <c r="W83" s="81">
        <v>48</v>
      </c>
      <c r="X83" s="81">
        <v>36.73</v>
      </c>
      <c r="Y83" s="81">
        <v>36.36</v>
      </c>
      <c r="Z83" s="5" t="s">
        <v>130</v>
      </c>
      <c r="AA83" s="5" t="s">
        <v>88</v>
      </c>
      <c r="AB83" s="5" t="s">
        <v>89</v>
      </c>
      <c r="AC83" s="5" t="s">
        <v>193</v>
      </c>
    </row>
    <row r="84" spans="1:29">
      <c r="A84" s="5">
        <v>5</v>
      </c>
      <c r="B84" s="5" t="s">
        <v>54</v>
      </c>
      <c r="C84" s="5" t="s">
        <v>55</v>
      </c>
      <c r="D84" s="5" t="s">
        <v>55</v>
      </c>
      <c r="E84" s="5">
        <v>3</v>
      </c>
      <c r="F84" s="5" t="s">
        <v>93</v>
      </c>
      <c r="G84" s="81">
        <v>81.25</v>
      </c>
      <c r="H84" s="81">
        <v>30.95</v>
      </c>
      <c r="I84" s="81">
        <v>44.83</v>
      </c>
      <c r="J84" s="82">
        <f t="shared" si="2"/>
        <v>44.8250891265597</v>
      </c>
      <c r="K84" s="11">
        <f t="shared" si="3"/>
        <v>-0.00491087344028784</v>
      </c>
      <c r="L84" s="5">
        <v>5</v>
      </c>
      <c r="M84" s="5">
        <v>67</v>
      </c>
      <c r="N84" s="5">
        <v>42</v>
      </c>
      <c r="O84" s="5">
        <v>51</v>
      </c>
      <c r="P84" s="5">
        <v>16</v>
      </c>
      <c r="Q84" s="5">
        <v>13</v>
      </c>
      <c r="R84" s="5">
        <v>38</v>
      </c>
      <c r="S84" s="5">
        <v>3</v>
      </c>
      <c r="T84" s="5">
        <v>35</v>
      </c>
      <c r="U84" s="5">
        <v>29</v>
      </c>
      <c r="V84" s="81">
        <v>81.25</v>
      </c>
      <c r="W84" s="81">
        <v>44.83</v>
      </c>
      <c r="X84" s="81">
        <v>25.49</v>
      </c>
      <c r="Y84" s="81">
        <v>27.96</v>
      </c>
      <c r="Z84" s="5" t="s">
        <v>130</v>
      </c>
      <c r="AA84" s="5" t="s">
        <v>88</v>
      </c>
      <c r="AB84" s="5" t="s">
        <v>89</v>
      </c>
      <c r="AC84" s="5" t="s">
        <v>194</v>
      </c>
    </row>
    <row r="85" spans="1:29">
      <c r="A85" s="5">
        <v>5</v>
      </c>
      <c r="B85" s="5" t="s">
        <v>54</v>
      </c>
      <c r="C85" s="5" t="s">
        <v>55</v>
      </c>
      <c r="D85" s="5" t="s">
        <v>55</v>
      </c>
      <c r="E85" s="5">
        <v>4</v>
      </c>
      <c r="F85" s="5" t="s">
        <v>95</v>
      </c>
      <c r="G85" s="81">
        <v>100</v>
      </c>
      <c r="H85" s="81">
        <v>11.11</v>
      </c>
      <c r="I85" s="81">
        <v>20</v>
      </c>
      <c r="J85" s="82">
        <f t="shared" si="2"/>
        <v>19.9981999819998</v>
      </c>
      <c r="K85" s="11">
        <f t="shared" si="3"/>
        <v>-0.00180001800017848</v>
      </c>
      <c r="L85" s="5">
        <v>6</v>
      </c>
      <c r="M85" s="5">
        <v>19</v>
      </c>
      <c r="N85" s="5">
        <v>9</v>
      </c>
      <c r="O85" s="5">
        <v>60</v>
      </c>
      <c r="P85" s="5">
        <v>1</v>
      </c>
      <c r="Q85" s="5">
        <v>1</v>
      </c>
      <c r="R85" s="5">
        <v>59</v>
      </c>
      <c r="S85" s="5">
        <v>0</v>
      </c>
      <c r="T85" s="5">
        <v>59</v>
      </c>
      <c r="U85" s="5">
        <v>8</v>
      </c>
      <c r="V85" s="81">
        <v>100</v>
      </c>
      <c r="W85" s="81">
        <v>20</v>
      </c>
      <c r="X85" s="81">
        <v>1.67</v>
      </c>
      <c r="Y85" s="81">
        <v>2.9</v>
      </c>
      <c r="Z85" s="5" t="s">
        <v>130</v>
      </c>
      <c r="AA85" s="5" t="s">
        <v>88</v>
      </c>
      <c r="AB85" s="5" t="s">
        <v>89</v>
      </c>
      <c r="AC85" s="5" t="s">
        <v>195</v>
      </c>
    </row>
    <row r="86" spans="1:29">
      <c r="A86" s="5">
        <v>5</v>
      </c>
      <c r="B86" s="5" t="s">
        <v>54</v>
      </c>
      <c r="C86" s="5" t="s">
        <v>55</v>
      </c>
      <c r="D86" s="5" t="s">
        <v>55</v>
      </c>
      <c r="E86" s="5">
        <v>5</v>
      </c>
      <c r="F86" s="5" t="s">
        <v>97</v>
      </c>
      <c r="G86" s="81">
        <v>68.75</v>
      </c>
      <c r="H86" s="81">
        <v>50</v>
      </c>
      <c r="I86" s="81">
        <v>57.89</v>
      </c>
      <c r="J86" s="82">
        <f t="shared" si="2"/>
        <v>57.8947368421053</v>
      </c>
      <c r="K86" s="11">
        <f t="shared" si="3"/>
        <v>0.0047368421052596</v>
      </c>
      <c r="L86" s="5">
        <v>6</v>
      </c>
      <c r="M86" s="5">
        <v>66</v>
      </c>
      <c r="N86" s="5">
        <v>22</v>
      </c>
      <c r="O86" s="5">
        <v>52</v>
      </c>
      <c r="P86" s="5">
        <v>16</v>
      </c>
      <c r="Q86" s="5">
        <v>11</v>
      </c>
      <c r="R86" s="5">
        <v>41</v>
      </c>
      <c r="S86" s="5">
        <v>5</v>
      </c>
      <c r="T86" s="5">
        <v>36</v>
      </c>
      <c r="U86" s="5">
        <v>11</v>
      </c>
      <c r="V86" s="81">
        <v>68.75</v>
      </c>
      <c r="W86" s="81">
        <v>57.89</v>
      </c>
      <c r="X86" s="81">
        <v>21.15</v>
      </c>
      <c r="Y86" s="81">
        <v>29.73</v>
      </c>
      <c r="Z86" s="5" t="s">
        <v>130</v>
      </c>
      <c r="AA86" s="5" t="s">
        <v>88</v>
      </c>
      <c r="AB86" s="5" t="s">
        <v>89</v>
      </c>
      <c r="AC86" s="5" t="s">
        <v>196</v>
      </c>
    </row>
    <row r="87" spans="1:29">
      <c r="A87" s="5">
        <v>5</v>
      </c>
      <c r="B87" s="5" t="s">
        <v>54</v>
      </c>
      <c r="C87" s="5" t="s">
        <v>55</v>
      </c>
      <c r="D87" s="5" t="s">
        <v>55</v>
      </c>
      <c r="E87" s="5">
        <v>6</v>
      </c>
      <c r="F87" s="5" t="s">
        <v>99</v>
      </c>
      <c r="G87" s="81">
        <v>83.33</v>
      </c>
      <c r="H87" s="81">
        <v>17.86</v>
      </c>
      <c r="I87" s="81">
        <v>29.41</v>
      </c>
      <c r="J87" s="82">
        <f t="shared" si="2"/>
        <v>29.4154323549758</v>
      </c>
      <c r="K87" s="11">
        <f t="shared" si="3"/>
        <v>0.0054323549757882</v>
      </c>
      <c r="L87" s="5">
        <v>5</v>
      </c>
      <c r="M87" s="5">
        <v>128</v>
      </c>
      <c r="N87" s="5">
        <v>56</v>
      </c>
      <c r="O87" s="5">
        <v>42</v>
      </c>
      <c r="P87" s="5">
        <v>12</v>
      </c>
      <c r="Q87" s="5">
        <v>10</v>
      </c>
      <c r="R87" s="5">
        <v>32</v>
      </c>
      <c r="S87" s="5">
        <v>2</v>
      </c>
      <c r="T87" s="5">
        <v>30</v>
      </c>
      <c r="U87" s="5">
        <v>46</v>
      </c>
      <c r="V87" s="81">
        <v>83.33</v>
      </c>
      <c r="W87" s="81">
        <v>29.41</v>
      </c>
      <c r="X87" s="81">
        <v>23.81</v>
      </c>
      <c r="Y87" s="81">
        <v>20.41</v>
      </c>
      <c r="Z87" s="5" t="s">
        <v>130</v>
      </c>
      <c r="AA87" s="5" t="s">
        <v>88</v>
      </c>
      <c r="AB87" s="5" t="s">
        <v>89</v>
      </c>
      <c r="AC87" s="5" t="s">
        <v>197</v>
      </c>
    </row>
    <row r="88" spans="1:29">
      <c r="A88" s="5">
        <v>5</v>
      </c>
      <c r="B88" s="5" t="s">
        <v>54</v>
      </c>
      <c r="C88" s="5" t="s">
        <v>55</v>
      </c>
      <c r="D88" s="5" t="s">
        <v>55</v>
      </c>
      <c r="E88" s="5">
        <v>9</v>
      </c>
      <c r="F88" s="5" t="s">
        <v>101</v>
      </c>
      <c r="G88" s="81">
        <v>65</v>
      </c>
      <c r="H88" s="81">
        <v>19.7</v>
      </c>
      <c r="I88" s="81">
        <v>30.23</v>
      </c>
      <c r="J88" s="82">
        <f t="shared" si="2"/>
        <v>30.2361275088548</v>
      </c>
      <c r="K88" s="11">
        <f t="shared" si="3"/>
        <v>0.00612750885478164</v>
      </c>
      <c r="L88" s="5">
        <v>3</v>
      </c>
      <c r="M88" s="5">
        <v>155</v>
      </c>
      <c r="N88" s="5">
        <v>66</v>
      </c>
      <c r="O88" s="5">
        <v>46</v>
      </c>
      <c r="P88" s="5">
        <v>20</v>
      </c>
      <c r="Q88" s="5">
        <v>13</v>
      </c>
      <c r="R88" s="5">
        <v>33</v>
      </c>
      <c r="S88" s="5">
        <v>7</v>
      </c>
      <c r="T88" s="5">
        <v>26</v>
      </c>
      <c r="U88" s="5">
        <v>53</v>
      </c>
      <c r="V88" s="81">
        <v>65</v>
      </c>
      <c r="W88" s="81">
        <v>30.23</v>
      </c>
      <c r="X88" s="81">
        <v>28.26</v>
      </c>
      <c r="Y88" s="81">
        <v>23.21</v>
      </c>
      <c r="Z88" s="5" t="s">
        <v>130</v>
      </c>
      <c r="AA88" s="5" t="s">
        <v>88</v>
      </c>
      <c r="AB88" s="5" t="s">
        <v>89</v>
      </c>
      <c r="AC88" s="5" t="s">
        <v>198</v>
      </c>
    </row>
    <row r="89" spans="1:29">
      <c r="A89" s="5">
        <v>5</v>
      </c>
      <c r="B89" s="5" t="s">
        <v>54</v>
      </c>
      <c r="C89" s="5" t="s">
        <v>55</v>
      </c>
      <c r="D89" s="5" t="s">
        <v>55</v>
      </c>
      <c r="E89" s="5">
        <v>11</v>
      </c>
      <c r="F89" s="5" t="s">
        <v>103</v>
      </c>
      <c r="G89" s="81">
        <v>83.33</v>
      </c>
      <c r="H89" s="81">
        <v>33.33</v>
      </c>
      <c r="I89" s="81">
        <v>47.62</v>
      </c>
      <c r="J89" s="82">
        <f t="shared" si="2"/>
        <v>47.6151020058289</v>
      </c>
      <c r="K89" s="11">
        <f t="shared" si="3"/>
        <v>-0.00489799417109538</v>
      </c>
      <c r="L89" s="5">
        <v>4</v>
      </c>
      <c r="M89" s="5">
        <v>60</v>
      </c>
      <c r="N89" s="5">
        <v>15</v>
      </c>
      <c r="O89" s="5">
        <v>24</v>
      </c>
      <c r="P89" s="5">
        <v>6</v>
      </c>
      <c r="Q89" s="5">
        <v>5</v>
      </c>
      <c r="R89" s="5">
        <v>19</v>
      </c>
      <c r="S89" s="5">
        <v>1</v>
      </c>
      <c r="T89" s="5">
        <v>18</v>
      </c>
      <c r="U89" s="5">
        <v>10</v>
      </c>
      <c r="V89" s="81">
        <v>83.33</v>
      </c>
      <c r="W89" s="81">
        <v>47.62</v>
      </c>
      <c r="X89" s="81">
        <v>20.83</v>
      </c>
      <c r="Y89" s="81">
        <v>25.64</v>
      </c>
      <c r="Z89" s="5" t="s">
        <v>130</v>
      </c>
      <c r="AA89" s="5" t="s">
        <v>88</v>
      </c>
      <c r="AB89" s="5" t="s">
        <v>89</v>
      </c>
      <c r="AC89" s="5" t="s">
        <v>199</v>
      </c>
    </row>
    <row r="90" spans="1:29">
      <c r="A90" s="5">
        <v>5</v>
      </c>
      <c r="B90" s="5" t="s">
        <v>54</v>
      </c>
      <c r="C90" s="5" t="s">
        <v>55</v>
      </c>
      <c r="D90" s="5" t="s">
        <v>55</v>
      </c>
      <c r="E90" s="5">
        <v>20</v>
      </c>
      <c r="F90" s="5" t="s">
        <v>105</v>
      </c>
      <c r="G90" s="81">
        <v>80</v>
      </c>
      <c r="H90" s="81">
        <v>18.18</v>
      </c>
      <c r="I90" s="81">
        <v>29.63</v>
      </c>
      <c r="J90" s="82">
        <f t="shared" si="2"/>
        <v>29.6272153188022</v>
      </c>
      <c r="K90" s="11">
        <f t="shared" si="3"/>
        <v>-0.00278468119779873</v>
      </c>
      <c r="L90" s="5">
        <v>5</v>
      </c>
      <c r="M90" s="5">
        <v>133</v>
      </c>
      <c r="N90" s="5">
        <v>66</v>
      </c>
      <c r="O90" s="5">
        <v>55</v>
      </c>
      <c r="P90" s="5">
        <v>15</v>
      </c>
      <c r="Q90" s="5">
        <v>12</v>
      </c>
      <c r="R90" s="5">
        <v>43</v>
      </c>
      <c r="S90" s="5">
        <v>3</v>
      </c>
      <c r="T90" s="5">
        <v>40</v>
      </c>
      <c r="U90" s="5">
        <v>54</v>
      </c>
      <c r="V90" s="81">
        <v>80</v>
      </c>
      <c r="W90" s="81">
        <v>29.63</v>
      </c>
      <c r="X90" s="81">
        <v>21.82</v>
      </c>
      <c r="Y90" s="81">
        <v>19.83</v>
      </c>
      <c r="Z90" s="5" t="s">
        <v>130</v>
      </c>
      <c r="AA90" s="5" t="s">
        <v>88</v>
      </c>
      <c r="AB90" s="5" t="s">
        <v>89</v>
      </c>
      <c r="AC90" s="5" t="s">
        <v>200</v>
      </c>
    </row>
    <row r="91" spans="1:29">
      <c r="A91" s="5">
        <v>5</v>
      </c>
      <c r="B91" s="5" t="s">
        <v>54</v>
      </c>
      <c r="C91" s="5" t="s">
        <v>55</v>
      </c>
      <c r="D91" s="5" t="s">
        <v>55</v>
      </c>
      <c r="E91" s="5">
        <v>22</v>
      </c>
      <c r="F91" s="5" t="s">
        <v>107</v>
      </c>
      <c r="G91" s="81">
        <v>75</v>
      </c>
      <c r="H91" s="81">
        <v>12.5</v>
      </c>
      <c r="I91" s="81">
        <v>21.43</v>
      </c>
      <c r="J91" s="82">
        <f t="shared" si="2"/>
        <v>21.4285714285714</v>
      </c>
      <c r="K91" s="11">
        <f t="shared" si="3"/>
        <v>-0.00142857142857267</v>
      </c>
      <c r="L91" s="5">
        <v>5</v>
      </c>
      <c r="M91" s="5">
        <v>53</v>
      </c>
      <c r="N91" s="5">
        <v>24</v>
      </c>
      <c r="O91" s="5">
        <v>32</v>
      </c>
      <c r="P91" s="5">
        <v>4</v>
      </c>
      <c r="Q91" s="5">
        <v>3</v>
      </c>
      <c r="R91" s="5">
        <v>29</v>
      </c>
      <c r="S91" s="5">
        <v>1</v>
      </c>
      <c r="T91" s="5">
        <v>28</v>
      </c>
      <c r="U91" s="5">
        <v>21</v>
      </c>
      <c r="V91" s="81">
        <v>75</v>
      </c>
      <c r="W91" s="81">
        <v>21.43</v>
      </c>
      <c r="X91" s="81">
        <v>9.38</v>
      </c>
      <c r="Y91" s="81">
        <v>10.71</v>
      </c>
      <c r="Z91" s="5" t="s">
        <v>130</v>
      </c>
      <c r="AA91" s="5" t="s">
        <v>88</v>
      </c>
      <c r="AB91" s="5" t="s">
        <v>89</v>
      </c>
      <c r="AC91" s="5" t="s">
        <v>201</v>
      </c>
    </row>
    <row r="92" spans="1:29">
      <c r="A92" s="5">
        <v>5</v>
      </c>
      <c r="B92" s="5" t="s">
        <v>54</v>
      </c>
      <c r="C92" s="5" t="s">
        <v>55</v>
      </c>
      <c r="D92" s="5" t="s">
        <v>55</v>
      </c>
      <c r="E92" s="5">
        <v>26</v>
      </c>
      <c r="F92" s="5" t="s">
        <v>109</v>
      </c>
      <c r="G92" s="81">
        <v>45</v>
      </c>
      <c r="H92" s="81">
        <v>12.5</v>
      </c>
      <c r="I92" s="81">
        <v>19.57</v>
      </c>
      <c r="J92" s="82">
        <f t="shared" si="2"/>
        <v>19.5652173913043</v>
      </c>
      <c r="K92" s="11">
        <f t="shared" si="3"/>
        <v>-0.00478260869565261</v>
      </c>
      <c r="L92" s="5">
        <v>5</v>
      </c>
      <c r="M92" s="5">
        <v>136</v>
      </c>
      <c r="N92" s="5">
        <v>72</v>
      </c>
      <c r="O92" s="5">
        <v>52</v>
      </c>
      <c r="P92" s="5">
        <v>20</v>
      </c>
      <c r="Q92" s="5">
        <v>9</v>
      </c>
      <c r="R92" s="5">
        <v>43</v>
      </c>
      <c r="S92" s="5">
        <v>11</v>
      </c>
      <c r="T92" s="5">
        <v>32</v>
      </c>
      <c r="U92" s="5">
        <v>63</v>
      </c>
      <c r="V92" s="81">
        <v>45</v>
      </c>
      <c r="W92" s="81">
        <v>19.57</v>
      </c>
      <c r="X92" s="81">
        <v>17.31</v>
      </c>
      <c r="Y92" s="81">
        <v>14.52</v>
      </c>
      <c r="Z92" s="5" t="s">
        <v>130</v>
      </c>
      <c r="AA92" s="5" t="s">
        <v>88</v>
      </c>
      <c r="AB92" s="5" t="s">
        <v>89</v>
      </c>
      <c r="AC92" s="5" t="s">
        <v>202</v>
      </c>
    </row>
    <row r="93" spans="1:29">
      <c r="A93" s="5">
        <v>5</v>
      </c>
      <c r="B93" s="5" t="s">
        <v>54</v>
      </c>
      <c r="C93" s="5" t="s">
        <v>55</v>
      </c>
      <c r="D93" s="5" t="s">
        <v>55</v>
      </c>
      <c r="E93" s="5">
        <v>44</v>
      </c>
      <c r="F93" s="5" t="s">
        <v>111</v>
      </c>
      <c r="G93" s="81">
        <v>83.33</v>
      </c>
      <c r="H93" s="81">
        <v>48.19</v>
      </c>
      <c r="I93" s="81">
        <v>61.07</v>
      </c>
      <c r="J93" s="82">
        <f t="shared" si="2"/>
        <v>61.0655824209246</v>
      </c>
      <c r="K93" s="11">
        <f t="shared" si="3"/>
        <v>-0.0044175790754224</v>
      </c>
      <c r="L93" s="5">
        <v>4</v>
      </c>
      <c r="M93" s="5">
        <v>137</v>
      </c>
      <c r="N93" s="5">
        <v>83</v>
      </c>
      <c r="O93" s="5">
        <v>67</v>
      </c>
      <c r="P93" s="5">
        <v>48</v>
      </c>
      <c r="Q93" s="5">
        <v>40</v>
      </c>
      <c r="R93" s="5">
        <v>27</v>
      </c>
      <c r="S93" s="5">
        <v>8</v>
      </c>
      <c r="T93" s="5">
        <v>19</v>
      </c>
      <c r="U93" s="5">
        <v>43</v>
      </c>
      <c r="V93" s="81">
        <v>83.33</v>
      </c>
      <c r="W93" s="81">
        <v>61.07</v>
      </c>
      <c r="X93" s="81">
        <v>59.7</v>
      </c>
      <c r="Y93" s="81">
        <v>53.33</v>
      </c>
      <c r="Z93" s="5" t="s">
        <v>130</v>
      </c>
      <c r="AA93" s="5" t="s">
        <v>88</v>
      </c>
      <c r="AB93" s="5" t="s">
        <v>89</v>
      </c>
      <c r="AC93" s="5" t="s">
        <v>203</v>
      </c>
    </row>
    <row r="94" spans="1:29">
      <c r="A94" s="5">
        <v>5</v>
      </c>
      <c r="B94" s="5" t="s">
        <v>54</v>
      </c>
      <c r="C94" s="5" t="s">
        <v>55</v>
      </c>
      <c r="D94" s="5" t="s">
        <v>55</v>
      </c>
      <c r="E94" s="5">
        <v>53</v>
      </c>
      <c r="F94" s="5" t="s">
        <v>113</v>
      </c>
      <c r="G94" s="81">
        <v>78.26</v>
      </c>
      <c r="H94" s="81">
        <v>45</v>
      </c>
      <c r="I94" s="81">
        <v>57.14</v>
      </c>
      <c r="J94" s="82">
        <f t="shared" si="2"/>
        <v>57.1426253447996</v>
      </c>
      <c r="K94" s="11">
        <f t="shared" si="3"/>
        <v>0.00262534479961118</v>
      </c>
      <c r="L94" s="5">
        <v>4</v>
      </c>
      <c r="M94" s="5">
        <v>84</v>
      </c>
      <c r="N94" s="5">
        <v>40</v>
      </c>
      <c r="O94" s="5">
        <v>47</v>
      </c>
      <c r="P94" s="5">
        <v>23</v>
      </c>
      <c r="Q94" s="5">
        <v>18</v>
      </c>
      <c r="R94" s="5">
        <v>29</v>
      </c>
      <c r="S94" s="5">
        <v>5</v>
      </c>
      <c r="T94" s="5">
        <v>24</v>
      </c>
      <c r="U94" s="5">
        <v>22</v>
      </c>
      <c r="V94" s="81">
        <v>78.26</v>
      </c>
      <c r="W94" s="81">
        <v>57.14</v>
      </c>
      <c r="X94" s="81">
        <v>38.3</v>
      </c>
      <c r="Y94" s="81">
        <v>41.38</v>
      </c>
      <c r="Z94" s="5" t="s">
        <v>130</v>
      </c>
      <c r="AA94" s="5" t="s">
        <v>88</v>
      </c>
      <c r="AB94" s="5" t="s">
        <v>89</v>
      </c>
      <c r="AC94" s="5" t="s">
        <v>204</v>
      </c>
    </row>
    <row r="95" spans="1:29">
      <c r="A95" s="5">
        <v>5</v>
      </c>
      <c r="B95" s="5" t="s">
        <v>54</v>
      </c>
      <c r="C95" s="5" t="s">
        <v>55</v>
      </c>
      <c r="D95" s="5" t="s">
        <v>55</v>
      </c>
      <c r="E95" s="5">
        <v>145</v>
      </c>
      <c r="F95" s="5" t="s">
        <v>115</v>
      </c>
      <c r="G95" s="81">
        <v>61.54</v>
      </c>
      <c r="H95" s="81">
        <v>30.77</v>
      </c>
      <c r="I95" s="81">
        <v>41.03</v>
      </c>
      <c r="J95" s="82">
        <f t="shared" si="2"/>
        <v>41.0266666666667</v>
      </c>
      <c r="K95" s="11">
        <f t="shared" si="3"/>
        <v>-0.00333333333333741</v>
      </c>
      <c r="L95" s="5">
        <v>5</v>
      </c>
      <c r="M95" s="5">
        <v>64</v>
      </c>
      <c r="N95" s="5">
        <v>26</v>
      </c>
      <c r="O95" s="5">
        <v>39</v>
      </c>
      <c r="P95" s="5">
        <v>13</v>
      </c>
      <c r="Q95" s="5">
        <v>8</v>
      </c>
      <c r="R95" s="5">
        <v>31</v>
      </c>
      <c r="S95" s="5">
        <v>5</v>
      </c>
      <c r="T95" s="5">
        <v>26</v>
      </c>
      <c r="U95" s="5">
        <v>18</v>
      </c>
      <c r="V95" s="81">
        <v>61.54</v>
      </c>
      <c r="W95" s="81">
        <v>41.03</v>
      </c>
      <c r="X95" s="81">
        <v>20.51</v>
      </c>
      <c r="Y95" s="81">
        <v>24.62</v>
      </c>
      <c r="Z95" s="5" t="s">
        <v>130</v>
      </c>
      <c r="AA95" s="5" t="s">
        <v>88</v>
      </c>
      <c r="AB95" s="5" t="s">
        <v>89</v>
      </c>
      <c r="AC95" s="5" t="s">
        <v>205</v>
      </c>
    </row>
    <row r="96" spans="1:29">
      <c r="A96" s="5">
        <v>5</v>
      </c>
      <c r="B96" s="5" t="s">
        <v>54</v>
      </c>
      <c r="C96" s="5" t="s">
        <v>55</v>
      </c>
      <c r="D96" s="5" t="s">
        <v>55</v>
      </c>
      <c r="E96" s="5">
        <v>147</v>
      </c>
      <c r="F96" s="5" t="s">
        <v>117</v>
      </c>
      <c r="G96" s="81">
        <v>70</v>
      </c>
      <c r="H96" s="81">
        <v>50</v>
      </c>
      <c r="I96" s="81">
        <v>58.33</v>
      </c>
      <c r="J96" s="82">
        <f t="shared" si="2"/>
        <v>58.3333333333333</v>
      </c>
      <c r="K96" s="11">
        <f t="shared" si="3"/>
        <v>0.00333333333333741</v>
      </c>
      <c r="L96" s="5">
        <v>5</v>
      </c>
      <c r="M96" s="5">
        <v>90</v>
      </c>
      <c r="N96" s="5">
        <v>56</v>
      </c>
      <c r="O96" s="5">
        <v>77</v>
      </c>
      <c r="P96" s="5">
        <v>40</v>
      </c>
      <c r="Q96" s="5">
        <v>28</v>
      </c>
      <c r="R96" s="5">
        <v>49</v>
      </c>
      <c r="S96" s="5">
        <v>12</v>
      </c>
      <c r="T96" s="5">
        <v>37</v>
      </c>
      <c r="U96" s="5">
        <v>28</v>
      </c>
      <c r="V96" s="81">
        <v>70</v>
      </c>
      <c r="W96" s="81">
        <v>58.33</v>
      </c>
      <c r="X96" s="81">
        <v>36.36</v>
      </c>
      <c r="Y96" s="81">
        <v>42.11</v>
      </c>
      <c r="Z96" s="5" t="s">
        <v>130</v>
      </c>
      <c r="AA96" s="5" t="s">
        <v>88</v>
      </c>
      <c r="AB96" s="5" t="s">
        <v>89</v>
      </c>
      <c r="AC96" s="5" t="s">
        <v>206</v>
      </c>
    </row>
    <row r="97" spans="1:29">
      <c r="A97" s="5">
        <v>5</v>
      </c>
      <c r="B97" s="5" t="s">
        <v>54</v>
      </c>
      <c r="C97" s="5" t="s">
        <v>55</v>
      </c>
      <c r="D97" s="5" t="s">
        <v>55</v>
      </c>
      <c r="E97" s="5">
        <v>454</v>
      </c>
      <c r="F97" s="5" t="s">
        <v>119</v>
      </c>
      <c r="G97" s="81">
        <v>75</v>
      </c>
      <c r="H97" s="81">
        <v>50</v>
      </c>
      <c r="I97" s="81">
        <v>60</v>
      </c>
      <c r="J97" s="82">
        <f t="shared" si="2"/>
        <v>60</v>
      </c>
      <c r="K97" s="11">
        <f t="shared" si="3"/>
        <v>0</v>
      </c>
      <c r="L97" s="5">
        <v>4</v>
      </c>
      <c r="M97" s="5">
        <v>26</v>
      </c>
      <c r="N97" s="5">
        <v>6</v>
      </c>
      <c r="O97" s="5">
        <v>6</v>
      </c>
      <c r="P97" s="5">
        <v>4</v>
      </c>
      <c r="Q97" s="5">
        <v>3</v>
      </c>
      <c r="R97" s="5">
        <v>3</v>
      </c>
      <c r="S97" s="5">
        <v>1</v>
      </c>
      <c r="T97" s="5">
        <v>2</v>
      </c>
      <c r="U97" s="5">
        <v>3</v>
      </c>
      <c r="V97" s="81">
        <v>75</v>
      </c>
      <c r="W97" s="81">
        <v>60</v>
      </c>
      <c r="X97" s="81">
        <v>50</v>
      </c>
      <c r="Y97" s="81">
        <v>50</v>
      </c>
      <c r="Z97" s="5" t="s">
        <v>130</v>
      </c>
      <c r="AA97" s="5" t="s">
        <v>88</v>
      </c>
      <c r="AB97" s="5" t="s">
        <v>89</v>
      </c>
      <c r="AC97" s="5" t="s">
        <v>207</v>
      </c>
    </row>
    <row r="98" spans="1:29">
      <c r="A98" s="5">
        <v>5</v>
      </c>
      <c r="B98" s="5" t="s">
        <v>54</v>
      </c>
      <c r="C98" s="5" t="s">
        <v>55</v>
      </c>
      <c r="D98" s="5" t="s">
        <v>55</v>
      </c>
      <c r="E98" s="5">
        <v>482</v>
      </c>
      <c r="F98" s="5" t="s">
        <v>121</v>
      </c>
      <c r="G98" s="81">
        <v>50</v>
      </c>
      <c r="H98" s="81">
        <v>20</v>
      </c>
      <c r="I98" s="81">
        <v>28.57</v>
      </c>
      <c r="J98" s="82">
        <f t="shared" si="2"/>
        <v>28.5714285714286</v>
      </c>
      <c r="K98" s="11">
        <f t="shared" si="3"/>
        <v>0.00142857142857267</v>
      </c>
      <c r="L98" s="5">
        <v>3</v>
      </c>
      <c r="M98" s="5">
        <v>16</v>
      </c>
      <c r="N98" s="5">
        <v>10</v>
      </c>
      <c r="O98" s="5">
        <v>6</v>
      </c>
      <c r="P98" s="5">
        <v>4</v>
      </c>
      <c r="Q98" s="5">
        <v>2</v>
      </c>
      <c r="R98" s="5">
        <v>4</v>
      </c>
      <c r="S98" s="5">
        <v>2</v>
      </c>
      <c r="T98" s="5">
        <v>2</v>
      </c>
      <c r="U98" s="5">
        <v>8</v>
      </c>
      <c r="V98" s="81">
        <v>50</v>
      </c>
      <c r="W98" s="81">
        <v>28.57</v>
      </c>
      <c r="X98" s="81">
        <v>33.33</v>
      </c>
      <c r="Y98" s="81">
        <v>25</v>
      </c>
      <c r="Z98" s="5" t="s">
        <v>130</v>
      </c>
      <c r="AA98" s="5" t="s">
        <v>88</v>
      </c>
      <c r="AB98" s="5" t="s">
        <v>89</v>
      </c>
      <c r="AC98" s="5" t="s">
        <v>208</v>
      </c>
    </row>
    <row r="99" spans="1:29">
      <c r="A99" s="5">
        <v>5</v>
      </c>
      <c r="B99" s="5" t="s">
        <v>54</v>
      </c>
      <c r="C99" s="5" t="s">
        <v>55</v>
      </c>
      <c r="D99" s="5" t="s">
        <v>55</v>
      </c>
      <c r="E99" s="5">
        <v>1053</v>
      </c>
      <c r="F99" s="5" t="s">
        <v>123</v>
      </c>
      <c r="G99" s="81">
        <v>33.33</v>
      </c>
      <c r="H99" s="81">
        <v>33.33</v>
      </c>
      <c r="I99" s="81">
        <v>33.33</v>
      </c>
      <c r="J99" s="82">
        <f t="shared" si="2"/>
        <v>33.33</v>
      </c>
      <c r="K99" s="11">
        <f t="shared" si="3"/>
        <v>0</v>
      </c>
      <c r="L99" s="5">
        <v>5</v>
      </c>
      <c r="M99" s="5">
        <v>37</v>
      </c>
      <c r="N99" s="5">
        <v>3</v>
      </c>
      <c r="O99" s="5">
        <v>34</v>
      </c>
      <c r="P99" s="5">
        <v>3</v>
      </c>
      <c r="Q99" s="5">
        <v>1</v>
      </c>
      <c r="R99" s="5">
        <v>33</v>
      </c>
      <c r="S99" s="5">
        <v>2</v>
      </c>
      <c r="T99" s="5">
        <v>31</v>
      </c>
      <c r="U99" s="5">
        <v>2</v>
      </c>
      <c r="V99" s="81">
        <v>33.33</v>
      </c>
      <c r="W99" s="81">
        <v>33.33</v>
      </c>
      <c r="X99" s="81">
        <v>2.94</v>
      </c>
      <c r="Y99" s="81">
        <v>5.41</v>
      </c>
      <c r="Z99" s="5" t="s">
        <v>130</v>
      </c>
      <c r="AA99" s="5" t="s">
        <v>88</v>
      </c>
      <c r="AB99" s="5" t="s">
        <v>89</v>
      </c>
      <c r="AC99" s="5" t="s">
        <v>209</v>
      </c>
    </row>
    <row r="100" spans="1:29">
      <c r="A100" s="5">
        <v>5</v>
      </c>
      <c r="B100" s="5" t="s">
        <v>54</v>
      </c>
      <c r="C100" s="5" t="s">
        <v>55</v>
      </c>
      <c r="D100" s="5" t="s">
        <v>55</v>
      </c>
      <c r="E100" s="5">
        <v>1083</v>
      </c>
      <c r="F100" s="5" t="s">
        <v>125</v>
      </c>
      <c r="G100" s="81">
        <v>86.21</v>
      </c>
      <c r="H100" s="81">
        <v>75.76</v>
      </c>
      <c r="I100" s="81">
        <v>80.65</v>
      </c>
      <c r="J100" s="82">
        <f t="shared" si="2"/>
        <v>80.647892819658</v>
      </c>
      <c r="K100" s="11">
        <f t="shared" si="3"/>
        <v>-0.00210718034205115</v>
      </c>
      <c r="L100" s="5">
        <v>5</v>
      </c>
      <c r="M100" s="5">
        <v>46</v>
      </c>
      <c r="N100" s="5">
        <v>33</v>
      </c>
      <c r="O100" s="5">
        <v>39</v>
      </c>
      <c r="P100" s="5">
        <v>29</v>
      </c>
      <c r="Q100" s="5">
        <v>25</v>
      </c>
      <c r="R100" s="5">
        <v>14</v>
      </c>
      <c r="S100" s="5">
        <v>4</v>
      </c>
      <c r="T100" s="5">
        <v>10</v>
      </c>
      <c r="U100" s="5">
        <v>8</v>
      </c>
      <c r="V100" s="81">
        <v>86.21</v>
      </c>
      <c r="W100" s="81">
        <v>80.65</v>
      </c>
      <c r="X100" s="81">
        <v>64.1</v>
      </c>
      <c r="Y100" s="81">
        <v>69.44</v>
      </c>
      <c r="Z100" s="5" t="s">
        <v>130</v>
      </c>
      <c r="AA100" s="5" t="s">
        <v>88</v>
      </c>
      <c r="AB100" s="5" t="s">
        <v>89</v>
      </c>
      <c r="AC100" s="5" t="s">
        <v>210</v>
      </c>
    </row>
    <row r="101" spans="1:29">
      <c r="A101" s="5">
        <v>5</v>
      </c>
      <c r="B101" s="5" t="s">
        <v>54</v>
      </c>
      <c r="C101" s="5" t="s">
        <v>55</v>
      </c>
      <c r="D101" s="5" t="s">
        <v>55</v>
      </c>
      <c r="E101" s="5">
        <v>1491</v>
      </c>
      <c r="F101" s="5" t="s">
        <v>127</v>
      </c>
      <c r="G101" s="81">
        <v>70</v>
      </c>
      <c r="H101" s="81">
        <v>58.33</v>
      </c>
      <c r="I101" s="81">
        <v>63.64</v>
      </c>
      <c r="J101" s="82">
        <f t="shared" si="2"/>
        <v>63.6343801137692</v>
      </c>
      <c r="K101" s="11">
        <f t="shared" si="3"/>
        <v>-0.00561988623080367</v>
      </c>
      <c r="L101" s="5">
        <v>6</v>
      </c>
      <c r="M101" s="5">
        <v>19</v>
      </c>
      <c r="N101" s="5">
        <v>12</v>
      </c>
      <c r="O101" s="5">
        <v>32</v>
      </c>
      <c r="P101" s="5">
        <v>10</v>
      </c>
      <c r="Q101" s="5">
        <v>7</v>
      </c>
      <c r="R101" s="5">
        <v>25</v>
      </c>
      <c r="S101" s="5">
        <v>3</v>
      </c>
      <c r="T101" s="5">
        <v>22</v>
      </c>
      <c r="U101" s="5">
        <v>5</v>
      </c>
      <c r="V101" s="81">
        <v>70</v>
      </c>
      <c r="W101" s="81">
        <v>63.64</v>
      </c>
      <c r="X101" s="81">
        <v>21.88</v>
      </c>
      <c r="Y101" s="81">
        <v>31.82</v>
      </c>
      <c r="Z101" s="5" t="s">
        <v>130</v>
      </c>
      <c r="AA101" s="5" t="s">
        <v>88</v>
      </c>
      <c r="AB101" s="5" t="s">
        <v>89</v>
      </c>
      <c r="AC101" s="5" t="s">
        <v>211</v>
      </c>
    </row>
    <row r="102" spans="1:29">
      <c r="A102" s="5">
        <v>6</v>
      </c>
      <c r="B102" s="5" t="s">
        <v>56</v>
      </c>
      <c r="C102" s="5" t="s">
        <v>57</v>
      </c>
      <c r="D102" s="5" t="s">
        <v>57</v>
      </c>
      <c r="E102" s="5">
        <v>1</v>
      </c>
      <c r="F102" s="5" t="s">
        <v>86</v>
      </c>
      <c r="G102" s="81">
        <v>75</v>
      </c>
      <c r="H102" s="81">
        <v>14.29</v>
      </c>
      <c r="I102" s="81">
        <v>24</v>
      </c>
      <c r="J102" s="82">
        <f t="shared" si="2"/>
        <v>24.0060477097099</v>
      </c>
      <c r="K102" s="11">
        <f t="shared" si="3"/>
        <v>0.00604770970993584</v>
      </c>
      <c r="L102" s="5">
        <v>6</v>
      </c>
      <c r="M102" s="5">
        <v>57</v>
      </c>
      <c r="N102" s="5">
        <v>42</v>
      </c>
      <c r="O102" s="5">
        <v>22</v>
      </c>
      <c r="P102" s="5">
        <v>8</v>
      </c>
      <c r="Q102" s="5">
        <v>6</v>
      </c>
      <c r="R102" s="5">
        <v>16</v>
      </c>
      <c r="S102" s="5">
        <v>2</v>
      </c>
      <c r="T102" s="5">
        <v>14</v>
      </c>
      <c r="U102" s="5">
        <v>36</v>
      </c>
      <c r="V102" s="81">
        <v>75</v>
      </c>
      <c r="W102" s="81">
        <v>24</v>
      </c>
      <c r="X102" s="81">
        <v>27.27</v>
      </c>
      <c r="Y102" s="81">
        <v>18.75</v>
      </c>
      <c r="Z102" s="5" t="s">
        <v>130</v>
      </c>
      <c r="AA102" s="5" t="s">
        <v>88</v>
      </c>
      <c r="AB102" s="5" t="s">
        <v>89</v>
      </c>
      <c r="AC102" s="5" t="s">
        <v>212</v>
      </c>
    </row>
    <row r="103" spans="1:29">
      <c r="A103" s="5">
        <v>6</v>
      </c>
      <c r="B103" s="5" t="s">
        <v>56</v>
      </c>
      <c r="C103" s="5" t="s">
        <v>57</v>
      </c>
      <c r="D103" s="5" t="s">
        <v>57</v>
      </c>
      <c r="E103" s="5">
        <v>2</v>
      </c>
      <c r="F103" s="5" t="s">
        <v>91</v>
      </c>
      <c r="G103" s="81">
        <v>84.62</v>
      </c>
      <c r="H103" s="81">
        <v>22</v>
      </c>
      <c r="I103" s="81">
        <v>34.92</v>
      </c>
      <c r="J103" s="82">
        <f t="shared" si="2"/>
        <v>34.921027949728</v>
      </c>
      <c r="K103" s="11">
        <f t="shared" si="3"/>
        <v>0.00102794972800524</v>
      </c>
      <c r="L103" s="5">
        <v>5</v>
      </c>
      <c r="M103" s="5">
        <v>113</v>
      </c>
      <c r="N103" s="5">
        <v>50</v>
      </c>
      <c r="O103" s="5">
        <v>32</v>
      </c>
      <c r="P103" s="5">
        <v>13</v>
      </c>
      <c r="Q103" s="5">
        <v>11</v>
      </c>
      <c r="R103" s="5">
        <v>21</v>
      </c>
      <c r="S103" s="5">
        <v>2</v>
      </c>
      <c r="T103" s="5">
        <v>19</v>
      </c>
      <c r="U103" s="5">
        <v>39</v>
      </c>
      <c r="V103" s="81">
        <v>84.62</v>
      </c>
      <c r="W103" s="81">
        <v>34.92</v>
      </c>
      <c r="X103" s="81">
        <v>34.38</v>
      </c>
      <c r="Y103" s="81">
        <v>26.83</v>
      </c>
      <c r="Z103" s="5" t="s">
        <v>130</v>
      </c>
      <c r="AA103" s="5" t="s">
        <v>88</v>
      </c>
      <c r="AB103" s="5" t="s">
        <v>89</v>
      </c>
      <c r="AC103" s="5" t="s">
        <v>213</v>
      </c>
    </row>
    <row r="104" spans="1:29">
      <c r="A104" s="5">
        <v>6</v>
      </c>
      <c r="B104" s="5" t="s">
        <v>56</v>
      </c>
      <c r="C104" s="5" t="s">
        <v>57</v>
      </c>
      <c r="D104" s="5" t="s">
        <v>57</v>
      </c>
      <c r="E104" s="5">
        <v>3</v>
      </c>
      <c r="F104" s="5" t="s">
        <v>93</v>
      </c>
      <c r="G104" s="81">
        <v>91.67</v>
      </c>
      <c r="H104" s="81">
        <v>26.19</v>
      </c>
      <c r="I104" s="81">
        <v>40.74</v>
      </c>
      <c r="J104" s="82">
        <f t="shared" si="2"/>
        <v>40.7404938062108</v>
      </c>
      <c r="K104" s="11">
        <f t="shared" si="3"/>
        <v>0.000493806210762671</v>
      </c>
      <c r="L104" s="5">
        <v>6</v>
      </c>
      <c r="M104" s="5">
        <v>67</v>
      </c>
      <c r="N104" s="5">
        <v>42</v>
      </c>
      <c r="O104" s="5">
        <v>39</v>
      </c>
      <c r="P104" s="5">
        <v>12</v>
      </c>
      <c r="Q104" s="5">
        <v>11</v>
      </c>
      <c r="R104" s="5">
        <v>28</v>
      </c>
      <c r="S104" s="5">
        <v>1</v>
      </c>
      <c r="T104" s="5">
        <v>27</v>
      </c>
      <c r="U104" s="5">
        <v>31</v>
      </c>
      <c r="V104" s="81">
        <v>91.67</v>
      </c>
      <c r="W104" s="81">
        <v>40.74</v>
      </c>
      <c r="X104" s="81">
        <v>28.21</v>
      </c>
      <c r="Y104" s="81">
        <v>27.16</v>
      </c>
      <c r="Z104" s="5" t="s">
        <v>130</v>
      </c>
      <c r="AA104" s="5" t="s">
        <v>88</v>
      </c>
      <c r="AB104" s="5" t="s">
        <v>89</v>
      </c>
      <c r="AC104" s="5" t="s">
        <v>214</v>
      </c>
    </row>
    <row r="105" spans="1:29">
      <c r="A105" s="5">
        <v>6</v>
      </c>
      <c r="B105" s="5" t="s">
        <v>56</v>
      </c>
      <c r="C105" s="5" t="s">
        <v>57</v>
      </c>
      <c r="D105" s="5" t="s">
        <v>57</v>
      </c>
      <c r="E105" s="5">
        <v>4</v>
      </c>
      <c r="F105" s="5" t="s">
        <v>95</v>
      </c>
      <c r="G105" s="81">
        <v>100</v>
      </c>
      <c r="H105" s="81">
        <v>11.11</v>
      </c>
      <c r="I105" s="81">
        <v>20</v>
      </c>
      <c r="J105" s="82">
        <f t="shared" si="2"/>
        <v>19.9981999819998</v>
      </c>
      <c r="K105" s="11">
        <f t="shared" si="3"/>
        <v>-0.00180001800017848</v>
      </c>
      <c r="L105" s="5">
        <v>5</v>
      </c>
      <c r="M105" s="5">
        <v>19</v>
      </c>
      <c r="N105" s="5">
        <v>9</v>
      </c>
      <c r="O105" s="5">
        <v>28</v>
      </c>
      <c r="P105" s="5">
        <v>1</v>
      </c>
      <c r="Q105" s="5">
        <v>1</v>
      </c>
      <c r="R105" s="5">
        <v>27</v>
      </c>
      <c r="S105" s="5">
        <v>0</v>
      </c>
      <c r="T105" s="5">
        <v>27</v>
      </c>
      <c r="U105" s="5">
        <v>8</v>
      </c>
      <c r="V105" s="81">
        <v>100</v>
      </c>
      <c r="W105" s="81">
        <v>20</v>
      </c>
      <c r="X105" s="81">
        <v>3.57</v>
      </c>
      <c r="Y105" s="81">
        <v>5.41</v>
      </c>
      <c r="Z105" s="5" t="s">
        <v>130</v>
      </c>
      <c r="AA105" s="5" t="s">
        <v>88</v>
      </c>
      <c r="AB105" s="5" t="s">
        <v>89</v>
      </c>
      <c r="AC105" s="5" t="s">
        <v>215</v>
      </c>
    </row>
    <row r="106" spans="1:29">
      <c r="A106" s="5">
        <v>6</v>
      </c>
      <c r="B106" s="5" t="s">
        <v>56</v>
      </c>
      <c r="C106" s="5" t="s">
        <v>57</v>
      </c>
      <c r="D106" s="5" t="s">
        <v>57</v>
      </c>
      <c r="E106" s="5">
        <v>5</v>
      </c>
      <c r="F106" s="5" t="s">
        <v>97</v>
      </c>
      <c r="G106" s="81">
        <v>80</v>
      </c>
      <c r="H106" s="81">
        <v>36.36</v>
      </c>
      <c r="I106" s="81">
        <v>50</v>
      </c>
      <c r="J106" s="82">
        <f t="shared" si="2"/>
        <v>49.9965623925748</v>
      </c>
      <c r="K106" s="11">
        <f t="shared" si="3"/>
        <v>-0.00343760742522647</v>
      </c>
      <c r="L106" s="5">
        <v>5</v>
      </c>
      <c r="M106" s="5">
        <v>66</v>
      </c>
      <c r="N106" s="5">
        <v>22</v>
      </c>
      <c r="O106" s="5">
        <v>28</v>
      </c>
      <c r="P106" s="5">
        <v>10</v>
      </c>
      <c r="Q106" s="5">
        <v>8</v>
      </c>
      <c r="R106" s="5">
        <v>20</v>
      </c>
      <c r="S106" s="5">
        <v>2</v>
      </c>
      <c r="T106" s="5">
        <v>18</v>
      </c>
      <c r="U106" s="5">
        <v>14</v>
      </c>
      <c r="V106" s="81">
        <v>80</v>
      </c>
      <c r="W106" s="81">
        <v>50</v>
      </c>
      <c r="X106" s="81">
        <v>28.57</v>
      </c>
      <c r="Y106" s="81">
        <v>32</v>
      </c>
      <c r="Z106" s="5" t="s">
        <v>130</v>
      </c>
      <c r="AA106" s="5" t="s">
        <v>88</v>
      </c>
      <c r="AB106" s="5" t="s">
        <v>89</v>
      </c>
      <c r="AC106" s="5" t="s">
        <v>216</v>
      </c>
    </row>
    <row r="107" spans="1:29">
      <c r="A107" s="5">
        <v>6</v>
      </c>
      <c r="B107" s="5" t="s">
        <v>56</v>
      </c>
      <c r="C107" s="5" t="s">
        <v>57</v>
      </c>
      <c r="D107" s="5" t="s">
        <v>57</v>
      </c>
      <c r="E107" s="5">
        <v>6</v>
      </c>
      <c r="F107" s="5" t="s">
        <v>99</v>
      </c>
      <c r="G107" s="81">
        <v>87.5</v>
      </c>
      <c r="H107" s="81">
        <v>12.5</v>
      </c>
      <c r="I107" s="81">
        <v>21.88</v>
      </c>
      <c r="J107" s="82">
        <f t="shared" si="2"/>
        <v>21.875</v>
      </c>
      <c r="K107" s="11">
        <f t="shared" si="3"/>
        <v>-0.00499999999999901</v>
      </c>
      <c r="L107" s="5">
        <v>6</v>
      </c>
      <c r="M107" s="5">
        <v>128</v>
      </c>
      <c r="N107" s="5">
        <v>56</v>
      </c>
      <c r="O107" s="5">
        <v>29</v>
      </c>
      <c r="P107" s="5">
        <v>8</v>
      </c>
      <c r="Q107" s="5">
        <v>7</v>
      </c>
      <c r="R107" s="5">
        <v>22</v>
      </c>
      <c r="S107" s="5">
        <v>1</v>
      </c>
      <c r="T107" s="5">
        <v>21</v>
      </c>
      <c r="U107" s="5">
        <v>49</v>
      </c>
      <c r="V107" s="81">
        <v>87.5</v>
      </c>
      <c r="W107" s="81">
        <v>21.88</v>
      </c>
      <c r="X107" s="81">
        <v>24.14</v>
      </c>
      <c r="Y107" s="81">
        <v>16.47</v>
      </c>
      <c r="Z107" s="5" t="s">
        <v>130</v>
      </c>
      <c r="AA107" s="5" t="s">
        <v>88</v>
      </c>
      <c r="AB107" s="5" t="s">
        <v>89</v>
      </c>
      <c r="AC107" s="5" t="s">
        <v>217</v>
      </c>
    </row>
    <row r="108" spans="1:29">
      <c r="A108" s="5">
        <v>6</v>
      </c>
      <c r="B108" s="5" t="s">
        <v>56</v>
      </c>
      <c r="C108" s="5" t="s">
        <v>57</v>
      </c>
      <c r="D108" s="5" t="s">
        <v>57</v>
      </c>
      <c r="E108" s="5">
        <v>9</v>
      </c>
      <c r="F108" s="5" t="s">
        <v>101</v>
      </c>
      <c r="G108" s="81">
        <v>72.73</v>
      </c>
      <c r="H108" s="81">
        <v>12.12</v>
      </c>
      <c r="I108" s="81">
        <v>20.78</v>
      </c>
      <c r="J108" s="82">
        <f t="shared" si="2"/>
        <v>20.7775509723041</v>
      </c>
      <c r="K108" s="11">
        <f t="shared" si="3"/>
        <v>-0.0024490276959348</v>
      </c>
      <c r="L108" s="5">
        <v>6</v>
      </c>
      <c r="M108" s="5">
        <v>155</v>
      </c>
      <c r="N108" s="5">
        <v>66</v>
      </c>
      <c r="O108" s="5">
        <v>34</v>
      </c>
      <c r="P108" s="5">
        <v>11</v>
      </c>
      <c r="Q108" s="5">
        <v>8</v>
      </c>
      <c r="R108" s="5">
        <v>26</v>
      </c>
      <c r="S108" s="5">
        <v>3</v>
      </c>
      <c r="T108" s="5">
        <v>23</v>
      </c>
      <c r="U108" s="5">
        <v>58</v>
      </c>
      <c r="V108" s="81">
        <v>72.73</v>
      </c>
      <c r="W108" s="81">
        <v>20.78</v>
      </c>
      <c r="X108" s="81">
        <v>23.53</v>
      </c>
      <c r="Y108" s="81">
        <v>16</v>
      </c>
      <c r="Z108" s="5" t="s">
        <v>130</v>
      </c>
      <c r="AA108" s="5" t="s">
        <v>88</v>
      </c>
      <c r="AB108" s="5" t="s">
        <v>89</v>
      </c>
      <c r="AC108" s="5" t="s">
        <v>218</v>
      </c>
    </row>
    <row r="109" spans="1:29">
      <c r="A109" s="5">
        <v>6</v>
      </c>
      <c r="B109" s="5" t="s">
        <v>56</v>
      </c>
      <c r="C109" s="5" t="s">
        <v>57</v>
      </c>
      <c r="D109" s="5" t="s">
        <v>57</v>
      </c>
      <c r="E109" s="5">
        <v>11</v>
      </c>
      <c r="F109" s="5" t="s">
        <v>103</v>
      </c>
      <c r="G109" s="81">
        <v>83.33</v>
      </c>
      <c r="H109" s="81">
        <v>33.33</v>
      </c>
      <c r="I109" s="81">
        <v>47.62</v>
      </c>
      <c r="J109" s="82">
        <f t="shared" si="2"/>
        <v>47.6151020058289</v>
      </c>
      <c r="K109" s="11">
        <f t="shared" si="3"/>
        <v>-0.00489799417109538</v>
      </c>
      <c r="L109" s="5">
        <v>5</v>
      </c>
      <c r="M109" s="5">
        <v>60</v>
      </c>
      <c r="N109" s="5">
        <v>15</v>
      </c>
      <c r="O109" s="5">
        <v>25</v>
      </c>
      <c r="P109" s="5">
        <v>6</v>
      </c>
      <c r="Q109" s="5">
        <v>5</v>
      </c>
      <c r="R109" s="5">
        <v>20</v>
      </c>
      <c r="S109" s="5">
        <v>1</v>
      </c>
      <c r="T109" s="5">
        <v>19</v>
      </c>
      <c r="U109" s="5">
        <v>10</v>
      </c>
      <c r="V109" s="81">
        <v>83.33</v>
      </c>
      <c r="W109" s="81">
        <v>47.62</v>
      </c>
      <c r="X109" s="81">
        <v>20</v>
      </c>
      <c r="Y109" s="81">
        <v>25</v>
      </c>
      <c r="Z109" s="5" t="s">
        <v>130</v>
      </c>
      <c r="AA109" s="5" t="s">
        <v>88</v>
      </c>
      <c r="AB109" s="5" t="s">
        <v>89</v>
      </c>
      <c r="AC109" s="5" t="s">
        <v>219</v>
      </c>
    </row>
    <row r="110" spans="1:29">
      <c r="A110" s="5">
        <v>6</v>
      </c>
      <c r="B110" s="5" t="s">
        <v>56</v>
      </c>
      <c r="C110" s="5" t="s">
        <v>57</v>
      </c>
      <c r="D110" s="5" t="s">
        <v>57</v>
      </c>
      <c r="E110" s="5">
        <v>20</v>
      </c>
      <c r="F110" s="5" t="s">
        <v>105</v>
      </c>
      <c r="G110" s="81">
        <v>88.89</v>
      </c>
      <c r="H110" s="81">
        <v>12.12</v>
      </c>
      <c r="I110" s="81">
        <v>21.33</v>
      </c>
      <c r="J110" s="82">
        <f t="shared" si="2"/>
        <v>21.331487971488</v>
      </c>
      <c r="K110" s="11">
        <f t="shared" si="3"/>
        <v>0.00148797148797186</v>
      </c>
      <c r="L110" s="5">
        <v>6</v>
      </c>
      <c r="M110" s="5">
        <v>133</v>
      </c>
      <c r="N110" s="5">
        <v>66</v>
      </c>
      <c r="O110" s="5">
        <v>45</v>
      </c>
      <c r="P110" s="5">
        <v>9</v>
      </c>
      <c r="Q110" s="5">
        <v>8</v>
      </c>
      <c r="R110" s="5">
        <v>37</v>
      </c>
      <c r="S110" s="5">
        <v>1</v>
      </c>
      <c r="T110" s="5">
        <v>36</v>
      </c>
      <c r="U110" s="5">
        <v>58</v>
      </c>
      <c r="V110" s="81">
        <v>88.89</v>
      </c>
      <c r="W110" s="81">
        <v>21.33</v>
      </c>
      <c r="X110" s="81">
        <v>17.78</v>
      </c>
      <c r="Y110" s="81">
        <v>14.41</v>
      </c>
      <c r="Z110" s="5" t="s">
        <v>130</v>
      </c>
      <c r="AA110" s="5" t="s">
        <v>88</v>
      </c>
      <c r="AB110" s="5" t="s">
        <v>89</v>
      </c>
      <c r="AC110" s="5" t="s">
        <v>220</v>
      </c>
    </row>
    <row r="111" spans="1:29">
      <c r="A111" s="5">
        <v>6</v>
      </c>
      <c r="B111" s="5" t="s">
        <v>56</v>
      </c>
      <c r="C111" s="5" t="s">
        <v>57</v>
      </c>
      <c r="D111" s="5" t="s">
        <v>57</v>
      </c>
      <c r="E111" s="5">
        <v>22</v>
      </c>
      <c r="F111" s="5" t="s">
        <v>107</v>
      </c>
      <c r="G111" s="81">
        <v>0</v>
      </c>
      <c r="H111" s="81">
        <v>0</v>
      </c>
      <c r="I111" s="81">
        <v>0</v>
      </c>
      <c r="J111" s="82" t="str">
        <f t="shared" si="2"/>
        <v/>
      </c>
      <c r="K111" s="11" t="str">
        <f t="shared" si="3"/>
        <v/>
      </c>
      <c r="L111" s="5">
        <v>6</v>
      </c>
      <c r="M111" s="5">
        <v>53</v>
      </c>
      <c r="N111" s="5">
        <v>24</v>
      </c>
      <c r="O111" s="5">
        <v>25</v>
      </c>
      <c r="P111" s="5">
        <v>1</v>
      </c>
      <c r="Q111" s="5">
        <v>0</v>
      </c>
      <c r="R111" s="5">
        <v>25</v>
      </c>
      <c r="S111" s="5">
        <v>1</v>
      </c>
      <c r="T111" s="5">
        <v>24</v>
      </c>
      <c r="U111" s="5">
        <v>24</v>
      </c>
      <c r="V111" s="81">
        <v>0</v>
      </c>
      <c r="W111" s="81">
        <v>0</v>
      </c>
      <c r="X111" s="81">
        <v>0</v>
      </c>
      <c r="Y111" s="81">
        <v>0</v>
      </c>
      <c r="Z111" s="5" t="s">
        <v>130</v>
      </c>
      <c r="AA111" s="5" t="s">
        <v>88</v>
      </c>
      <c r="AB111" s="5" t="s">
        <v>89</v>
      </c>
      <c r="AC111" s="5" t="s">
        <v>221</v>
      </c>
    </row>
    <row r="112" spans="1:29">
      <c r="A112" s="5">
        <v>6</v>
      </c>
      <c r="B112" s="5" t="s">
        <v>56</v>
      </c>
      <c r="C112" s="5" t="s">
        <v>57</v>
      </c>
      <c r="D112" s="5" t="s">
        <v>57</v>
      </c>
      <c r="E112" s="5">
        <v>26</v>
      </c>
      <c r="F112" s="5" t="s">
        <v>109</v>
      </c>
      <c r="G112" s="81">
        <v>40</v>
      </c>
      <c r="H112" s="81">
        <v>5.56</v>
      </c>
      <c r="I112" s="81">
        <v>9.76</v>
      </c>
      <c r="J112" s="82">
        <f t="shared" si="2"/>
        <v>9.76294995610184</v>
      </c>
      <c r="K112" s="11">
        <f t="shared" si="3"/>
        <v>0.00294995610184223</v>
      </c>
      <c r="L112" s="5">
        <v>6</v>
      </c>
      <c r="M112" s="5">
        <v>136</v>
      </c>
      <c r="N112" s="5">
        <v>72</v>
      </c>
      <c r="O112" s="5">
        <v>33</v>
      </c>
      <c r="P112" s="5">
        <v>10</v>
      </c>
      <c r="Q112" s="5">
        <v>4</v>
      </c>
      <c r="R112" s="5">
        <v>29</v>
      </c>
      <c r="S112" s="5">
        <v>6</v>
      </c>
      <c r="T112" s="5">
        <v>23</v>
      </c>
      <c r="U112" s="5">
        <v>68</v>
      </c>
      <c r="V112" s="81">
        <v>40</v>
      </c>
      <c r="W112" s="81">
        <v>9.76</v>
      </c>
      <c r="X112" s="81">
        <v>12.12</v>
      </c>
      <c r="Y112" s="81">
        <v>7.62</v>
      </c>
      <c r="Z112" s="5" t="s">
        <v>130</v>
      </c>
      <c r="AA112" s="5" t="s">
        <v>88</v>
      </c>
      <c r="AB112" s="5" t="s">
        <v>89</v>
      </c>
      <c r="AC112" s="5" t="s">
        <v>222</v>
      </c>
    </row>
    <row r="113" spans="1:29">
      <c r="A113" s="5">
        <v>6</v>
      </c>
      <c r="B113" s="5" t="s">
        <v>56</v>
      </c>
      <c r="C113" s="5" t="s">
        <v>57</v>
      </c>
      <c r="D113" s="5" t="s">
        <v>57</v>
      </c>
      <c r="E113" s="5">
        <v>44</v>
      </c>
      <c r="F113" s="5" t="s">
        <v>111</v>
      </c>
      <c r="G113" s="81">
        <v>88</v>
      </c>
      <c r="H113" s="81">
        <v>26.51</v>
      </c>
      <c r="I113" s="81">
        <v>40.74</v>
      </c>
      <c r="J113" s="82">
        <f t="shared" si="2"/>
        <v>40.745437079731</v>
      </c>
      <c r="K113" s="11">
        <f t="shared" si="3"/>
        <v>0.00543707973102414</v>
      </c>
      <c r="L113" s="5">
        <v>6</v>
      </c>
      <c r="M113" s="5">
        <v>137</v>
      </c>
      <c r="N113" s="5">
        <v>83</v>
      </c>
      <c r="O113" s="5">
        <v>43</v>
      </c>
      <c r="P113" s="5">
        <v>25</v>
      </c>
      <c r="Q113" s="5">
        <v>22</v>
      </c>
      <c r="R113" s="5">
        <v>21</v>
      </c>
      <c r="S113" s="5">
        <v>3</v>
      </c>
      <c r="T113" s="5">
        <v>18</v>
      </c>
      <c r="U113" s="5">
        <v>61</v>
      </c>
      <c r="V113" s="81">
        <v>88</v>
      </c>
      <c r="W113" s="81">
        <v>40.74</v>
      </c>
      <c r="X113" s="81">
        <v>51.16</v>
      </c>
      <c r="Y113" s="81">
        <v>34.92</v>
      </c>
      <c r="Z113" s="5" t="s">
        <v>130</v>
      </c>
      <c r="AA113" s="5" t="s">
        <v>88</v>
      </c>
      <c r="AB113" s="5" t="s">
        <v>89</v>
      </c>
      <c r="AC113" s="5" t="s">
        <v>223</v>
      </c>
    </row>
    <row r="114" spans="1:29">
      <c r="A114" s="5">
        <v>6</v>
      </c>
      <c r="B114" s="5" t="s">
        <v>56</v>
      </c>
      <c r="C114" s="5" t="s">
        <v>57</v>
      </c>
      <c r="D114" s="5" t="s">
        <v>57</v>
      </c>
      <c r="E114" s="5">
        <v>53</v>
      </c>
      <c r="F114" s="5" t="s">
        <v>113</v>
      </c>
      <c r="G114" s="81">
        <v>64.29</v>
      </c>
      <c r="H114" s="81">
        <v>22.5</v>
      </c>
      <c r="I114" s="81">
        <v>33.33</v>
      </c>
      <c r="J114" s="82">
        <f t="shared" si="2"/>
        <v>33.333909436571</v>
      </c>
      <c r="K114" s="11">
        <f t="shared" si="3"/>
        <v>0.00390943657103549</v>
      </c>
      <c r="L114" s="5">
        <v>6</v>
      </c>
      <c r="M114" s="5">
        <v>84</v>
      </c>
      <c r="N114" s="5">
        <v>40</v>
      </c>
      <c r="O114" s="5">
        <v>32</v>
      </c>
      <c r="P114" s="5">
        <v>14</v>
      </c>
      <c r="Q114" s="5">
        <v>9</v>
      </c>
      <c r="R114" s="5">
        <v>23</v>
      </c>
      <c r="S114" s="5">
        <v>5</v>
      </c>
      <c r="T114" s="5">
        <v>18</v>
      </c>
      <c r="U114" s="5">
        <v>31</v>
      </c>
      <c r="V114" s="81">
        <v>64.29</v>
      </c>
      <c r="W114" s="81">
        <v>33.33</v>
      </c>
      <c r="X114" s="81">
        <v>28.12</v>
      </c>
      <c r="Y114" s="81">
        <v>25</v>
      </c>
      <c r="Z114" s="5" t="s">
        <v>130</v>
      </c>
      <c r="AA114" s="5" t="s">
        <v>88</v>
      </c>
      <c r="AB114" s="5" t="s">
        <v>89</v>
      </c>
      <c r="AC114" s="5" t="s">
        <v>224</v>
      </c>
    </row>
    <row r="115" spans="1:29">
      <c r="A115" s="5">
        <v>6</v>
      </c>
      <c r="B115" s="5" t="s">
        <v>56</v>
      </c>
      <c r="C115" s="5" t="s">
        <v>57</v>
      </c>
      <c r="D115" s="5" t="s">
        <v>57</v>
      </c>
      <c r="E115" s="5">
        <v>145</v>
      </c>
      <c r="F115" s="5" t="s">
        <v>115</v>
      </c>
      <c r="G115" s="81">
        <v>80</v>
      </c>
      <c r="H115" s="81">
        <v>30.77</v>
      </c>
      <c r="I115" s="81">
        <v>44.44</v>
      </c>
      <c r="J115" s="82">
        <f t="shared" si="2"/>
        <v>44.4452469080076</v>
      </c>
      <c r="K115" s="11">
        <f t="shared" si="3"/>
        <v>0.0052469080075852</v>
      </c>
      <c r="L115" s="5">
        <v>2</v>
      </c>
      <c r="M115" s="5">
        <v>64</v>
      </c>
      <c r="N115" s="5">
        <v>26</v>
      </c>
      <c r="O115" s="5">
        <v>27</v>
      </c>
      <c r="P115" s="5">
        <v>10</v>
      </c>
      <c r="Q115" s="5">
        <v>8</v>
      </c>
      <c r="R115" s="5">
        <v>19</v>
      </c>
      <c r="S115" s="5">
        <v>2</v>
      </c>
      <c r="T115" s="5">
        <v>17</v>
      </c>
      <c r="U115" s="5">
        <v>18</v>
      </c>
      <c r="V115" s="81">
        <v>80</v>
      </c>
      <c r="W115" s="81">
        <v>44.44</v>
      </c>
      <c r="X115" s="81">
        <v>29.63</v>
      </c>
      <c r="Y115" s="81">
        <v>30.19</v>
      </c>
      <c r="Z115" s="5" t="s">
        <v>130</v>
      </c>
      <c r="AA115" s="5" t="s">
        <v>88</v>
      </c>
      <c r="AB115" s="5" t="s">
        <v>89</v>
      </c>
      <c r="AC115" s="5" t="s">
        <v>225</v>
      </c>
    </row>
    <row r="116" spans="1:29">
      <c r="A116" s="5">
        <v>6</v>
      </c>
      <c r="B116" s="5" t="s">
        <v>56</v>
      </c>
      <c r="C116" s="5" t="s">
        <v>57</v>
      </c>
      <c r="D116" s="5" t="s">
        <v>57</v>
      </c>
      <c r="E116" s="5">
        <v>147</v>
      </c>
      <c r="F116" s="5" t="s">
        <v>117</v>
      </c>
      <c r="G116" s="81">
        <v>100</v>
      </c>
      <c r="H116" s="81">
        <v>23.21</v>
      </c>
      <c r="I116" s="81">
        <v>37.68</v>
      </c>
      <c r="J116" s="82">
        <f t="shared" si="2"/>
        <v>37.675513351189</v>
      </c>
      <c r="K116" s="11">
        <f t="shared" si="3"/>
        <v>-0.00448664881097471</v>
      </c>
      <c r="L116" s="5">
        <v>6</v>
      </c>
      <c r="M116" s="5">
        <v>90</v>
      </c>
      <c r="N116" s="5">
        <v>56</v>
      </c>
      <c r="O116" s="5">
        <v>34</v>
      </c>
      <c r="P116" s="5">
        <v>13</v>
      </c>
      <c r="Q116" s="5">
        <v>13</v>
      </c>
      <c r="R116" s="5">
        <v>21</v>
      </c>
      <c r="S116" s="5">
        <v>0</v>
      </c>
      <c r="T116" s="5">
        <v>21</v>
      </c>
      <c r="U116" s="5">
        <v>43</v>
      </c>
      <c r="V116" s="81">
        <v>100</v>
      </c>
      <c r="W116" s="81">
        <v>37.68</v>
      </c>
      <c r="X116" s="81">
        <v>38.24</v>
      </c>
      <c r="Y116" s="81">
        <v>28.89</v>
      </c>
      <c r="Z116" s="5" t="s">
        <v>130</v>
      </c>
      <c r="AA116" s="5" t="s">
        <v>88</v>
      </c>
      <c r="AB116" s="5" t="s">
        <v>89</v>
      </c>
      <c r="AC116" s="5" t="s">
        <v>226</v>
      </c>
    </row>
    <row r="117" spans="1:29">
      <c r="A117" s="5">
        <v>6</v>
      </c>
      <c r="B117" s="5" t="s">
        <v>56</v>
      </c>
      <c r="C117" s="5" t="s">
        <v>57</v>
      </c>
      <c r="D117" s="5" t="s">
        <v>57</v>
      </c>
      <c r="E117" s="5">
        <v>454</v>
      </c>
      <c r="F117" s="5" t="s">
        <v>119</v>
      </c>
      <c r="G117" s="81">
        <v>75</v>
      </c>
      <c r="H117" s="81">
        <v>50</v>
      </c>
      <c r="I117" s="81">
        <v>60</v>
      </c>
      <c r="J117" s="82">
        <f t="shared" si="2"/>
        <v>60</v>
      </c>
      <c r="K117" s="11">
        <f t="shared" si="3"/>
        <v>0</v>
      </c>
      <c r="L117" s="5">
        <v>5</v>
      </c>
      <c r="M117" s="5">
        <v>26</v>
      </c>
      <c r="N117" s="5">
        <v>6</v>
      </c>
      <c r="O117" s="5">
        <v>9</v>
      </c>
      <c r="P117" s="5">
        <v>4</v>
      </c>
      <c r="Q117" s="5">
        <v>3</v>
      </c>
      <c r="R117" s="5">
        <v>6</v>
      </c>
      <c r="S117" s="5">
        <v>1</v>
      </c>
      <c r="T117" s="5">
        <v>5</v>
      </c>
      <c r="U117" s="5">
        <v>3</v>
      </c>
      <c r="V117" s="81">
        <v>75</v>
      </c>
      <c r="W117" s="81">
        <v>60</v>
      </c>
      <c r="X117" s="81">
        <v>33.33</v>
      </c>
      <c r="Y117" s="81">
        <v>40</v>
      </c>
      <c r="Z117" s="5" t="s">
        <v>130</v>
      </c>
      <c r="AA117" s="5" t="s">
        <v>88</v>
      </c>
      <c r="AB117" s="5" t="s">
        <v>89</v>
      </c>
      <c r="AC117" s="5" t="s">
        <v>227</v>
      </c>
    </row>
    <row r="118" spans="1:29">
      <c r="A118" s="5">
        <v>6</v>
      </c>
      <c r="B118" s="5" t="s">
        <v>56</v>
      </c>
      <c r="C118" s="5" t="s">
        <v>57</v>
      </c>
      <c r="D118" s="5" t="s">
        <v>57</v>
      </c>
      <c r="E118" s="5">
        <v>482</v>
      </c>
      <c r="F118" s="5" t="s">
        <v>121</v>
      </c>
      <c r="G118" s="81">
        <v>50</v>
      </c>
      <c r="H118" s="81">
        <v>20</v>
      </c>
      <c r="I118" s="81">
        <v>28.57</v>
      </c>
      <c r="J118" s="82">
        <f t="shared" si="2"/>
        <v>28.5714285714286</v>
      </c>
      <c r="K118" s="11">
        <f t="shared" si="3"/>
        <v>0.00142857142857267</v>
      </c>
      <c r="L118" s="5">
        <v>4</v>
      </c>
      <c r="M118" s="5">
        <v>16</v>
      </c>
      <c r="N118" s="5">
        <v>10</v>
      </c>
      <c r="O118" s="5">
        <v>8</v>
      </c>
      <c r="P118" s="5">
        <v>4</v>
      </c>
      <c r="Q118" s="5">
        <v>2</v>
      </c>
      <c r="R118" s="5">
        <v>6</v>
      </c>
      <c r="S118" s="5">
        <v>2</v>
      </c>
      <c r="T118" s="5">
        <v>4</v>
      </c>
      <c r="U118" s="5">
        <v>8</v>
      </c>
      <c r="V118" s="81">
        <v>50</v>
      </c>
      <c r="W118" s="81">
        <v>28.57</v>
      </c>
      <c r="X118" s="81">
        <v>25</v>
      </c>
      <c r="Y118" s="81">
        <v>22.22</v>
      </c>
      <c r="Z118" s="5" t="s">
        <v>130</v>
      </c>
      <c r="AA118" s="5" t="s">
        <v>88</v>
      </c>
      <c r="AB118" s="5" t="s">
        <v>89</v>
      </c>
      <c r="AC118" s="5" t="s">
        <v>228</v>
      </c>
    </row>
    <row r="119" spans="1:29">
      <c r="A119" s="5">
        <v>6</v>
      </c>
      <c r="B119" s="5" t="s">
        <v>56</v>
      </c>
      <c r="C119" s="5" t="s">
        <v>57</v>
      </c>
      <c r="D119" s="5" t="s">
        <v>57</v>
      </c>
      <c r="E119" s="5">
        <v>1053</v>
      </c>
      <c r="F119" s="5" t="s">
        <v>123</v>
      </c>
      <c r="G119" s="81">
        <v>0</v>
      </c>
      <c r="H119" s="81">
        <v>0</v>
      </c>
      <c r="I119" s="81">
        <v>0</v>
      </c>
      <c r="J119" s="82" t="str">
        <f t="shared" si="2"/>
        <v/>
      </c>
      <c r="K119" s="11" t="str">
        <f t="shared" si="3"/>
        <v/>
      </c>
      <c r="L119" s="5">
        <v>6</v>
      </c>
      <c r="M119" s="5">
        <v>37</v>
      </c>
      <c r="N119" s="5">
        <v>3</v>
      </c>
      <c r="O119" s="5">
        <v>18</v>
      </c>
      <c r="P119" s="5">
        <v>0</v>
      </c>
      <c r="Q119" s="5">
        <v>0</v>
      </c>
      <c r="R119" s="5">
        <v>18</v>
      </c>
      <c r="S119" s="5">
        <v>0</v>
      </c>
      <c r="T119" s="5">
        <v>18</v>
      </c>
      <c r="U119" s="5">
        <v>3</v>
      </c>
      <c r="V119" s="81">
        <v>0</v>
      </c>
      <c r="W119" s="81">
        <v>0</v>
      </c>
      <c r="X119" s="81">
        <v>0</v>
      </c>
      <c r="Y119" s="81">
        <v>0</v>
      </c>
      <c r="Z119" s="5" t="s">
        <v>130</v>
      </c>
      <c r="AA119" s="5" t="s">
        <v>88</v>
      </c>
      <c r="AB119" s="5" t="s">
        <v>89</v>
      </c>
      <c r="AC119" s="5" t="s">
        <v>229</v>
      </c>
    </row>
    <row r="120" spans="1:29">
      <c r="A120" s="5">
        <v>6</v>
      </c>
      <c r="B120" s="5" t="s">
        <v>56</v>
      </c>
      <c r="C120" s="5" t="s">
        <v>57</v>
      </c>
      <c r="D120" s="5" t="s">
        <v>57</v>
      </c>
      <c r="E120" s="5">
        <v>1083</v>
      </c>
      <c r="F120" s="5" t="s">
        <v>125</v>
      </c>
      <c r="G120" s="81">
        <v>88</v>
      </c>
      <c r="H120" s="81">
        <v>66.67</v>
      </c>
      <c r="I120" s="81">
        <v>75.86</v>
      </c>
      <c r="J120" s="82">
        <f t="shared" si="2"/>
        <v>75.8642270640719</v>
      </c>
      <c r="K120" s="11">
        <f t="shared" si="3"/>
        <v>0.004227064071884</v>
      </c>
      <c r="L120" s="5">
        <v>6</v>
      </c>
      <c r="M120" s="5">
        <v>46</v>
      </c>
      <c r="N120" s="5">
        <v>33</v>
      </c>
      <c r="O120" s="5">
        <v>31</v>
      </c>
      <c r="P120" s="5">
        <v>25</v>
      </c>
      <c r="Q120" s="5">
        <v>22</v>
      </c>
      <c r="R120" s="5">
        <v>9</v>
      </c>
      <c r="S120" s="5">
        <v>3</v>
      </c>
      <c r="T120" s="5">
        <v>6</v>
      </c>
      <c r="U120" s="5">
        <v>11</v>
      </c>
      <c r="V120" s="81">
        <v>88</v>
      </c>
      <c r="W120" s="81">
        <v>75.86</v>
      </c>
      <c r="X120" s="81">
        <v>70.97</v>
      </c>
      <c r="Y120" s="81">
        <v>68.75</v>
      </c>
      <c r="Z120" s="5" t="s">
        <v>130</v>
      </c>
      <c r="AA120" s="5" t="s">
        <v>88</v>
      </c>
      <c r="AB120" s="5" t="s">
        <v>89</v>
      </c>
      <c r="AC120" s="5" t="s">
        <v>230</v>
      </c>
    </row>
    <row r="121" spans="1:29">
      <c r="A121" s="5">
        <v>6</v>
      </c>
      <c r="B121" s="5" t="s">
        <v>56</v>
      </c>
      <c r="C121" s="5" t="s">
        <v>57</v>
      </c>
      <c r="D121" s="5" t="s">
        <v>57</v>
      </c>
      <c r="E121" s="5">
        <v>1491</v>
      </c>
      <c r="F121" s="5" t="s">
        <v>127</v>
      </c>
      <c r="G121" s="81">
        <v>75</v>
      </c>
      <c r="H121" s="81">
        <v>50</v>
      </c>
      <c r="I121" s="81">
        <v>60</v>
      </c>
      <c r="J121" s="82">
        <f t="shared" si="2"/>
        <v>60</v>
      </c>
      <c r="K121" s="11">
        <f t="shared" si="3"/>
        <v>0</v>
      </c>
      <c r="L121" s="5">
        <v>5</v>
      </c>
      <c r="M121" s="5">
        <v>19</v>
      </c>
      <c r="N121" s="5">
        <v>12</v>
      </c>
      <c r="O121" s="5">
        <v>18</v>
      </c>
      <c r="P121" s="5">
        <v>8</v>
      </c>
      <c r="Q121" s="5">
        <v>6</v>
      </c>
      <c r="R121" s="5">
        <v>12</v>
      </c>
      <c r="S121" s="5">
        <v>2</v>
      </c>
      <c r="T121" s="5">
        <v>10</v>
      </c>
      <c r="U121" s="5">
        <v>6</v>
      </c>
      <c r="V121" s="81">
        <v>75</v>
      </c>
      <c r="W121" s="81">
        <v>60</v>
      </c>
      <c r="X121" s="81">
        <v>33.33</v>
      </c>
      <c r="Y121" s="81">
        <v>40</v>
      </c>
      <c r="Z121" s="5" t="s">
        <v>130</v>
      </c>
      <c r="AA121" s="5" t="s">
        <v>88</v>
      </c>
      <c r="AB121" s="5" t="s">
        <v>89</v>
      </c>
      <c r="AC121" s="5" t="s">
        <v>231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showGridLines="0" workbookViewId="0">
      <selection activeCell="A1" sqref="A1"/>
    </sheetView>
  </sheetViews>
  <sheetFormatPr defaultColWidth="9" defaultRowHeight="14.4"/>
  <cols>
    <col min="1" max="1" width="23" customWidth="1"/>
    <col min="2" max="9" width="12" customWidth="1"/>
  </cols>
  <sheetData>
    <row r="1" ht="34" customHeight="1" spans="1:9">
      <c r="A1" s="1" t="s">
        <v>232</v>
      </c>
      <c r="B1" s="2" t="s">
        <v>233</v>
      </c>
      <c r="C1" s="2" t="s">
        <v>234</v>
      </c>
      <c r="D1" s="2" t="s">
        <v>235</v>
      </c>
      <c r="E1" s="2" t="s">
        <v>236</v>
      </c>
      <c r="F1" s="2" t="s">
        <v>237</v>
      </c>
      <c r="G1" s="2" t="s">
        <v>238</v>
      </c>
      <c r="H1" s="2" t="s">
        <v>239</v>
      </c>
      <c r="I1" s="3" t="s">
        <v>240</v>
      </c>
    </row>
    <row r="2" ht="26" customHeight="1" spans="1:9">
      <c r="A2" s="15" t="s">
        <v>241</v>
      </c>
      <c r="B2" s="16">
        <f>'Fig2c-e Model Summary'!E2/100</f>
        <v>0.98068</v>
      </c>
      <c r="C2" s="17">
        <f>'Fig2c-e Model Summary'!F2/100</f>
        <v>0.87517</v>
      </c>
      <c r="D2" s="18">
        <f>'Fig2c-e Model Summary'!G2/100</f>
        <v>0.92197</v>
      </c>
      <c r="E2" s="19">
        <f>'Fig2c-e Model Summary'!H2/100</f>
        <v>0.85817</v>
      </c>
      <c r="F2" s="20">
        <f>'Fig2c-e Model Summary'!I2/100</f>
        <v>0.93725</v>
      </c>
      <c r="G2" s="21">
        <f>'Fig2c-e Model Summary'!J2/100</f>
        <v>0.89597</v>
      </c>
      <c r="H2" s="18">
        <f>'Fig2c-e Model Summary'!K2/100</f>
        <v>0.92177815</v>
      </c>
      <c r="I2" s="22">
        <f>'Fig2c-e Model Summary'!L2/100</f>
        <v>0.913239383333333</v>
      </c>
    </row>
    <row r="3" ht="26" customHeight="1" spans="1:9">
      <c r="A3" s="15" t="s">
        <v>242</v>
      </c>
      <c r="B3" s="23">
        <f>'Fig2c-e Model Summary'!E3/100</f>
        <v>0.973135</v>
      </c>
      <c r="C3" s="24">
        <f>'Fig2c-e Model Summary'!F3/100</f>
        <v>0.82725</v>
      </c>
      <c r="D3" s="25">
        <f>'Fig2c-e Model Summary'!G3/100</f>
        <v>0.89309</v>
      </c>
      <c r="E3" s="26">
        <f>'Fig2c-e Model Summary'!H3/100</f>
        <v>0.79696</v>
      </c>
      <c r="F3" s="27">
        <f>'Fig2c-e Model Summary'!I3/100</f>
        <v>0.82353</v>
      </c>
      <c r="G3" s="28">
        <f>'Fig2c-e Model Summary'!J3/100</f>
        <v>0.81003</v>
      </c>
      <c r="H3" s="29">
        <f>'Fig2c-e Model Summary'!K3/100</f>
        <v>0.918437</v>
      </c>
      <c r="I3" s="30">
        <f>'Fig2c-e Model Summary'!L3/100</f>
        <v>0.873852333333333</v>
      </c>
    </row>
    <row r="4" ht="26" customHeight="1" spans="1:9">
      <c r="A4" s="15" t="s">
        <v>243</v>
      </c>
      <c r="B4" s="31">
        <f>'Fig2c-e Model Summary'!E4/100</f>
        <v>0.994425</v>
      </c>
      <c r="C4" s="32">
        <f>'Fig2c-e Model Summary'!F4/100</f>
        <v>0.84449</v>
      </c>
      <c r="D4" s="33">
        <f>'Fig2c-e Model Summary'!G4/100</f>
        <v>0.911895</v>
      </c>
      <c r="E4" s="34">
        <f>'Fig2c-e Model Summary'!H4/100</f>
        <v>0.87243</v>
      </c>
      <c r="F4" s="35">
        <f>'Fig2c-e Model Summary'!I4/100</f>
        <v>0.83137</v>
      </c>
      <c r="G4" s="36">
        <f>'Fig2c-e Model Summary'!J4/100</f>
        <v>0.85141</v>
      </c>
      <c r="H4" s="37">
        <f>'Fig2c-e Model Summary'!K4/100</f>
        <v>0.84326268</v>
      </c>
      <c r="I4" s="38">
        <f>'Fig2c-e Model Summary'!L4/100</f>
        <v>0.868855893333333</v>
      </c>
    </row>
    <row r="5" ht="26" customHeight="1" spans="1:9">
      <c r="A5" s="15" t="s">
        <v>244</v>
      </c>
      <c r="B5" s="39">
        <f>'Fig2c-e Model Summary'!E5/100</f>
        <v>0.993225</v>
      </c>
      <c r="C5" s="40">
        <f>'Fig2c-e Model Summary'!F5/100</f>
        <v>0.731835</v>
      </c>
      <c r="D5" s="41">
        <f>'Fig2c-e Model Summary'!G5/100</f>
        <v>0.84011</v>
      </c>
      <c r="E5" s="42">
        <f>'Fig2c-e Model Summary'!H5/100</f>
        <v>0.87591</v>
      </c>
      <c r="F5" s="43">
        <f>'Fig2c-e Model Summary'!I5/100</f>
        <v>0.70588</v>
      </c>
      <c r="G5" s="44">
        <f>'Fig2c-e Model Summary'!J5/100</f>
        <v>0.78176</v>
      </c>
      <c r="H5" s="45">
        <f>'Fig2c-e Model Summary'!K5/100</f>
        <v>0.92469547</v>
      </c>
      <c r="I5" s="46">
        <f>'Fig2c-e Model Summary'!L5/100</f>
        <v>0.848855156666667</v>
      </c>
    </row>
    <row r="6" ht="26" customHeight="1" spans="1:9">
      <c r="A6" s="15" t="s">
        <v>245</v>
      </c>
      <c r="B6" s="47">
        <f>'Fig2c-e Model Summary'!E6/100</f>
        <v>0.97822</v>
      </c>
      <c r="C6" s="48">
        <f>'Fig2c-e Model Summary'!F6/100</f>
        <v>0.75831</v>
      </c>
      <c r="D6" s="49">
        <f>'Fig2c-e Model Summary'!G6/100</f>
        <v>0.85016</v>
      </c>
      <c r="E6" s="50">
        <f>'Fig2c-e Model Summary'!H6/100</f>
        <v>0.89773</v>
      </c>
      <c r="F6" s="51">
        <f>'Fig2c-e Model Summary'!I6/100</f>
        <v>0.61961</v>
      </c>
      <c r="G6" s="52">
        <f>'Fig2c-e Model Summary'!J6/100</f>
        <v>0.73318</v>
      </c>
      <c r="H6" s="53">
        <f>'Fig2c-e Model Summary'!K6/100</f>
        <v>0.92820155</v>
      </c>
      <c r="I6" s="54">
        <f>'Fig2c-e Model Summary'!L6/100</f>
        <v>0.837180516666667</v>
      </c>
    </row>
    <row r="7" ht="26" customHeight="1" spans="1:9">
      <c r="A7" s="15" t="s">
        <v>246</v>
      </c>
      <c r="B7" s="55">
        <f>'Fig2c-e Model Summary'!E7/100</f>
        <v>0.931035</v>
      </c>
      <c r="C7" s="56">
        <f>'Fig2c-e Model Summary'!F7/100</f>
        <v>0.78453</v>
      </c>
      <c r="D7" s="57">
        <f>'Fig2c-e Model Summary'!G7/100</f>
        <v>0.843655</v>
      </c>
      <c r="E7" s="58">
        <f>'Fig2c-e Model Summary'!H7/100</f>
        <v>0.86111</v>
      </c>
      <c r="F7" s="51">
        <f>'Fig2c-e Model Summary'!I7/100</f>
        <v>0.66863</v>
      </c>
      <c r="G7" s="59">
        <f>'Fig2c-e Model Summary'!J7/100</f>
        <v>0.75276</v>
      </c>
      <c r="H7" s="60">
        <f>'Fig2c-e Model Summary'!K7/100</f>
        <v>0.85084794</v>
      </c>
      <c r="I7" s="61">
        <f>'Fig2c-e Model Summary'!L7/100</f>
        <v>0.815754313333333</v>
      </c>
    </row>
    <row r="8" ht="26" customHeight="1" spans="1:9">
      <c r="A8" s="15" t="s">
        <v>247</v>
      </c>
      <c r="B8" s="62">
        <f>'Fig2c-e Model Summary'!E8/100</f>
        <v>0.988005</v>
      </c>
      <c r="C8" s="63">
        <f>'Fig2c-e Model Summary'!F8/100</f>
        <v>0.742295</v>
      </c>
      <c r="D8" s="64">
        <f>'Fig2c-e Model Summary'!G8/100</f>
        <v>0.84285</v>
      </c>
      <c r="E8" s="65">
        <f>'Fig2c-e Model Summary'!H8/100</f>
        <v>0.77314</v>
      </c>
      <c r="F8" s="66">
        <f>'Fig2c-e Model Summary'!I8/100</f>
        <v>0.83529</v>
      </c>
      <c r="G8" s="67">
        <f>'Fig2c-e Model Summary'!J8/100</f>
        <v>0.80302</v>
      </c>
      <c r="H8" s="68">
        <f>'Fig2c-e Model Summary'!K8/100</f>
        <v>0.80085565</v>
      </c>
      <c r="I8" s="69">
        <f>'Fig2c-e Model Summary'!L8/100</f>
        <v>0.815575216666667</v>
      </c>
    </row>
    <row r="9" ht="26" customHeight="1" spans="1:9">
      <c r="A9" s="15" t="s">
        <v>248</v>
      </c>
      <c r="B9" s="70">
        <f>'Fig2c-e Model Summary'!E9/100</f>
        <v>0.987075</v>
      </c>
      <c r="C9" s="71">
        <f>'Fig2c-e Model Summary'!F9/100</f>
        <v>0.767365</v>
      </c>
      <c r="D9" s="72">
        <f>'Fig2c-e Model Summary'!G9/100</f>
        <v>0.861615</v>
      </c>
      <c r="E9" s="73">
        <f>'Fig2c-e Model Summary'!H9/100</f>
        <v>0.80645</v>
      </c>
      <c r="F9" s="51">
        <f>'Fig2c-e Model Summary'!I9/100</f>
        <v>0.63725</v>
      </c>
      <c r="G9" s="74">
        <f>'Fig2c-e Model Summary'!J9/100</f>
        <v>0.71194</v>
      </c>
      <c r="H9" s="75">
        <f>'Fig2c-e Model Summary'!K9/100</f>
        <v>0.74944258</v>
      </c>
      <c r="I9" s="76">
        <f>'Fig2c-e Model Summary'!L9/100</f>
        <v>0.774332526666667</v>
      </c>
    </row>
    <row r="10" ht="26" customHeight="1" spans="1:9">
      <c r="A10" s="15" t="s">
        <v>249</v>
      </c>
      <c r="B10" s="77">
        <f>'Fig2c-e Model Summary'!E10/100</f>
        <v>0.99844</v>
      </c>
      <c r="C10" s="51">
        <f>'Fig2c-e Model Summary'!F10/100</f>
        <v>0.652715</v>
      </c>
      <c r="D10" s="78">
        <f>'Fig2c-e Model Summary'!G10/100</f>
        <v>0.780965</v>
      </c>
      <c r="E10" s="51">
        <f>'Fig2c-e Model Summary'!H10/100</f>
        <v>0.69556</v>
      </c>
      <c r="F10" s="51">
        <f>'Fig2c-e Model Summary'!I10/100</f>
        <v>0.61373</v>
      </c>
      <c r="G10" s="51">
        <f>'Fig2c-e Model Summary'!J10/100</f>
        <v>0.65208</v>
      </c>
      <c r="H10" s="79">
        <f>'Fig2c-e Model Summary'!K10/100</f>
        <v>0.83823567</v>
      </c>
      <c r="I10" s="80">
        <f>'Fig2c-e Model Summary'!L10/100</f>
        <v>0.757093556666667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showGridLines="0" workbookViewId="0">
      <selection activeCell="A1" sqref="A1"/>
    </sheetView>
  </sheetViews>
  <sheetFormatPr defaultColWidth="9" defaultRowHeight="14.4"/>
  <cols>
    <col min="1" max="1" width="12" customWidth="1"/>
    <col min="2" max="2" width="21" customWidth="1"/>
    <col min="3" max="3" width="38" customWidth="1"/>
    <col min="4" max="4" width="11" customWidth="1"/>
    <col min="5" max="5" width="15" customWidth="1"/>
    <col min="6" max="6" width="14" customWidth="1"/>
    <col min="7" max="7" width="12" customWidth="1"/>
    <col min="8" max="8" width="15" customWidth="1"/>
    <col min="9" max="9" width="14" customWidth="1"/>
    <col min="10" max="11" width="12" customWidth="1"/>
    <col min="12" max="12" width="16" customWidth="1"/>
    <col min="13" max="14" width="14" customWidth="1"/>
    <col min="15" max="15" width="20" customWidth="1"/>
    <col min="16" max="16" width="22" customWidth="1"/>
  </cols>
  <sheetData>
    <row r="1" ht="34" customHeight="1" spans="1:16">
      <c r="A1" s="1" t="s">
        <v>34</v>
      </c>
      <c r="B1" s="2" t="s">
        <v>232</v>
      </c>
      <c r="C1" s="2" t="s">
        <v>250</v>
      </c>
      <c r="D1" s="2" t="s">
        <v>37</v>
      </c>
      <c r="E1" s="2" t="s">
        <v>251</v>
      </c>
      <c r="F1" s="2" t="s">
        <v>252</v>
      </c>
      <c r="G1" s="2" t="s">
        <v>253</v>
      </c>
      <c r="H1" s="2" t="s">
        <v>254</v>
      </c>
      <c r="I1" s="2" t="s">
        <v>255</v>
      </c>
      <c r="J1" s="2" t="s">
        <v>256</v>
      </c>
      <c r="K1" s="2" t="s">
        <v>257</v>
      </c>
      <c r="L1" s="2" t="s">
        <v>258</v>
      </c>
      <c r="M1" s="2" t="s">
        <v>259</v>
      </c>
      <c r="N1" s="2" t="s">
        <v>260</v>
      </c>
      <c r="O1" s="2" t="s">
        <v>261</v>
      </c>
      <c r="P1" s="3" t="s">
        <v>262</v>
      </c>
    </row>
    <row r="2" spans="1:16">
      <c r="A2" s="5">
        <v>1</v>
      </c>
      <c r="B2" s="5" t="s">
        <v>241</v>
      </c>
      <c r="C2" s="5" t="s">
        <v>263</v>
      </c>
      <c r="D2" s="12">
        <f>COUNT('Fig2c-e Model Raw'!$D$2:$D$21)</f>
        <v>20</v>
      </c>
      <c r="E2" s="13">
        <v>98.068</v>
      </c>
      <c r="F2" s="13">
        <v>87.517</v>
      </c>
      <c r="G2" s="13">
        <v>92.197</v>
      </c>
      <c r="H2" s="13">
        <v>85.817</v>
      </c>
      <c r="I2" s="13">
        <v>93.725</v>
      </c>
      <c r="J2" s="13">
        <v>89.597</v>
      </c>
      <c r="K2" s="13">
        <v>92.177815</v>
      </c>
      <c r="L2" s="10">
        <f t="shared" ref="L2:L10" si="0">AVERAGE(G2,J2,K2)</f>
        <v>91.3239383333333</v>
      </c>
      <c r="M2" s="10">
        <f>AVERAGE('Fig2c-e Model Raw'!$O$2:$O$21)</f>
        <v>733.94585</v>
      </c>
      <c r="N2" s="14">
        <f>AVERAGE('Fig2c-e Model Raw'!$P$2:$P$21)</f>
        <v>0.407122848</v>
      </c>
      <c r="O2" s="10">
        <f>AVERAGE('Fig2c-e Model Raw'!$Z$2:$Z$21)</f>
        <v>91.1991883</v>
      </c>
      <c r="P2" s="10">
        <f t="shared" ref="P2:P10" si="1">L2-O2</f>
        <v>0.124750033333299</v>
      </c>
    </row>
    <row r="3" spans="1:16">
      <c r="A3" s="5">
        <v>2</v>
      </c>
      <c r="B3" s="5" t="s">
        <v>242</v>
      </c>
      <c r="C3" s="5" t="s">
        <v>264</v>
      </c>
      <c r="D3" s="12">
        <f>COUNT('Fig2c-e Model Raw'!$D$22:$D$41)</f>
        <v>20</v>
      </c>
      <c r="E3" s="13">
        <v>97.3135</v>
      </c>
      <c r="F3" s="13">
        <v>82.725</v>
      </c>
      <c r="G3" s="13">
        <v>89.309</v>
      </c>
      <c r="H3" s="13">
        <v>79.696</v>
      </c>
      <c r="I3" s="13">
        <v>82.353</v>
      </c>
      <c r="J3" s="13">
        <v>81.003</v>
      </c>
      <c r="K3" s="13">
        <v>91.8437</v>
      </c>
      <c r="L3" s="10">
        <f t="shared" si="0"/>
        <v>87.3852333333333</v>
      </c>
      <c r="M3" s="10">
        <f>AVERAGE('Fig2c-e Model Raw'!$O$22:$O$41)</f>
        <v>482.31445</v>
      </c>
      <c r="N3" s="14">
        <f>AVERAGE('Fig2c-e Model Raw'!$P$22:$P$41)</f>
        <v>0.218021895</v>
      </c>
      <c r="O3" s="10">
        <f>AVERAGE('Fig2c-e Model Raw'!$Z$22:$Z$41)</f>
        <v>87.3882666833334</v>
      </c>
      <c r="P3" s="10">
        <f t="shared" si="1"/>
        <v>-0.0030333500000097</v>
      </c>
    </row>
    <row r="4" spans="1:16">
      <c r="A4" s="5">
        <v>3</v>
      </c>
      <c r="B4" s="5" t="s">
        <v>243</v>
      </c>
      <c r="C4" s="5" t="s">
        <v>265</v>
      </c>
      <c r="D4" s="12">
        <f>COUNT('Fig2c-e Model Raw'!$D$42:$D$61)</f>
        <v>20</v>
      </c>
      <c r="E4" s="13">
        <v>99.4425</v>
      </c>
      <c r="F4" s="13">
        <v>84.449</v>
      </c>
      <c r="G4" s="13">
        <v>91.1895</v>
      </c>
      <c r="H4" s="13">
        <v>87.243</v>
      </c>
      <c r="I4" s="13">
        <v>83.137</v>
      </c>
      <c r="J4" s="13">
        <v>85.141</v>
      </c>
      <c r="K4" s="13">
        <v>84.326268</v>
      </c>
      <c r="L4" s="10">
        <f t="shared" si="0"/>
        <v>86.8855893333333</v>
      </c>
      <c r="M4" s="10">
        <f>AVERAGE('Fig2c-e Model Raw'!$O$42:$O$61)</f>
        <v>349.61825</v>
      </c>
      <c r="N4" s="14">
        <f>AVERAGE('Fig2c-e Model Raw'!$P$42:$P$61)</f>
        <v>0.245054348</v>
      </c>
      <c r="O4" s="10">
        <f>AVERAGE('Fig2c-e Model Raw'!$Z$42:$Z$61)</f>
        <v>87.1303893166667</v>
      </c>
      <c r="P4" s="10">
        <f t="shared" si="1"/>
        <v>-0.244799983333323</v>
      </c>
    </row>
    <row r="5" spans="1:16">
      <c r="A5" s="5">
        <v>4</v>
      </c>
      <c r="B5" s="5" t="s">
        <v>244</v>
      </c>
      <c r="C5" s="5" t="s">
        <v>266</v>
      </c>
      <c r="D5" s="12">
        <f>COUNT('Fig2c-e Model Raw'!$D$62:$D$81)</f>
        <v>20</v>
      </c>
      <c r="E5" s="13">
        <v>99.3225</v>
      </c>
      <c r="F5" s="13">
        <v>73.1835</v>
      </c>
      <c r="G5" s="13">
        <v>84.011</v>
      </c>
      <c r="H5" s="13">
        <v>87.591</v>
      </c>
      <c r="I5" s="13">
        <v>70.588</v>
      </c>
      <c r="J5" s="13">
        <v>78.176</v>
      </c>
      <c r="K5" s="13">
        <v>92.469547</v>
      </c>
      <c r="L5" s="10">
        <f t="shared" si="0"/>
        <v>84.8855156666667</v>
      </c>
      <c r="M5" s="10">
        <f>AVERAGE('Fig2c-e Model Raw'!$O$62:$O$81)</f>
        <v>257.87005</v>
      </c>
      <c r="N5" s="14">
        <f>AVERAGE('Fig2c-e Model Raw'!$P$62:$P$81)</f>
        <v>0.046297365</v>
      </c>
      <c r="O5" s="10">
        <f>AVERAGE('Fig2c-e Model Raw'!$Z$62:$Z$81)</f>
        <v>84.8766491</v>
      </c>
      <c r="P5" s="10">
        <f t="shared" si="1"/>
        <v>0.00886656666666852</v>
      </c>
    </row>
    <row r="6" spans="1:16">
      <c r="A6" s="5">
        <v>5</v>
      </c>
      <c r="B6" s="5" t="s">
        <v>245</v>
      </c>
      <c r="C6" s="5" t="s">
        <v>267</v>
      </c>
      <c r="D6" s="12">
        <f>COUNT('Fig2c-e Model Raw'!$D$82:$D$101)</f>
        <v>20</v>
      </c>
      <c r="E6" s="13">
        <v>97.822</v>
      </c>
      <c r="F6" s="13">
        <v>75.831</v>
      </c>
      <c r="G6" s="13">
        <v>85.016</v>
      </c>
      <c r="H6" s="13">
        <v>89.773</v>
      </c>
      <c r="I6" s="13">
        <v>61.961</v>
      </c>
      <c r="J6" s="13">
        <v>73.318</v>
      </c>
      <c r="K6" s="13">
        <v>92.820155</v>
      </c>
      <c r="L6" s="10">
        <f t="shared" si="0"/>
        <v>83.7180516666667</v>
      </c>
      <c r="M6" s="10">
        <f>AVERAGE('Fig2c-e Model Raw'!$O$82:$O$101)</f>
        <v>172.25895</v>
      </c>
      <c r="N6" s="14">
        <f>AVERAGE('Fig2c-e Model Raw'!$P$82:$P$101)</f>
        <v>0.5316619</v>
      </c>
      <c r="O6" s="10">
        <f>AVERAGE('Fig2c-e Model Raw'!$Z$82:$Z$101)</f>
        <v>84.5650348833333</v>
      </c>
      <c r="P6" s="10">
        <f t="shared" si="1"/>
        <v>-0.846983216666644</v>
      </c>
    </row>
    <row r="7" spans="1:16">
      <c r="A7" s="5">
        <v>6</v>
      </c>
      <c r="B7" s="5" t="s">
        <v>246</v>
      </c>
      <c r="C7" s="5" t="s">
        <v>268</v>
      </c>
      <c r="D7" s="12">
        <f>COUNT('Fig2c-e Model Raw'!$D$102:$D$121)</f>
        <v>20</v>
      </c>
      <c r="E7" s="13">
        <v>93.1035</v>
      </c>
      <c r="F7" s="13">
        <v>78.453</v>
      </c>
      <c r="G7" s="13">
        <v>84.3655</v>
      </c>
      <c r="H7" s="13">
        <v>86.111</v>
      </c>
      <c r="I7" s="13">
        <v>66.863</v>
      </c>
      <c r="J7" s="13">
        <v>75.276</v>
      </c>
      <c r="K7" s="13">
        <v>85.084794</v>
      </c>
      <c r="L7" s="10">
        <f t="shared" si="0"/>
        <v>81.5754313333333</v>
      </c>
      <c r="M7" s="10">
        <f>AVERAGE('Fig2c-e Model Raw'!$O$102:$O$121)</f>
        <v>588.5736</v>
      </c>
      <c r="N7" s="14">
        <f>AVERAGE('Fig2c-e Model Raw'!$P$102:$P$121)</f>
        <v>0.51076788</v>
      </c>
      <c r="O7" s="10">
        <f>AVERAGE('Fig2c-e Model Raw'!$Z$102:$Z$121)</f>
        <v>80.2780312666667</v>
      </c>
      <c r="P7" s="10">
        <f t="shared" si="1"/>
        <v>1.29740006666667</v>
      </c>
    </row>
    <row r="8" spans="1:16">
      <c r="A8" s="5">
        <v>7</v>
      </c>
      <c r="B8" s="5" t="s">
        <v>247</v>
      </c>
      <c r="C8" s="5" t="s">
        <v>269</v>
      </c>
      <c r="D8" s="12">
        <f>COUNT('Fig2c-e Model Raw'!$D$122:$D$141)</f>
        <v>20</v>
      </c>
      <c r="E8" s="13">
        <v>98.8005</v>
      </c>
      <c r="F8" s="13">
        <v>74.2295</v>
      </c>
      <c r="G8" s="13">
        <v>84.285</v>
      </c>
      <c r="H8" s="13">
        <v>77.314</v>
      </c>
      <c r="I8" s="13">
        <v>83.529</v>
      </c>
      <c r="J8" s="13">
        <v>80.302</v>
      </c>
      <c r="K8" s="13">
        <v>80.085565</v>
      </c>
      <c r="L8" s="10">
        <f t="shared" si="0"/>
        <v>81.5575216666667</v>
      </c>
      <c r="M8" s="10">
        <f>AVERAGE('Fig2c-e Model Raw'!$O$122:$O$141)</f>
        <v>401.43805</v>
      </c>
      <c r="N8" s="14">
        <f>AVERAGE('Fig2c-e Model Raw'!$P$122:$P$141)</f>
        <v>0.38294376</v>
      </c>
      <c r="O8" s="10">
        <f>AVERAGE('Fig2c-e Model Raw'!$Z$122:$Z$141)</f>
        <v>81.79002165</v>
      </c>
      <c r="P8" s="10">
        <f t="shared" si="1"/>
        <v>-0.232499983333341</v>
      </c>
    </row>
    <row r="9" spans="1:16">
      <c r="A9" s="5">
        <v>8</v>
      </c>
      <c r="B9" s="5" t="s">
        <v>248</v>
      </c>
      <c r="C9" s="5" t="s">
        <v>270</v>
      </c>
      <c r="D9" s="12">
        <f>COUNT('Fig2c-e Model Raw'!$D$142:$D$161)</f>
        <v>20</v>
      </c>
      <c r="E9" s="13">
        <v>98.7075</v>
      </c>
      <c r="F9" s="13">
        <v>76.7365</v>
      </c>
      <c r="G9" s="13">
        <v>86.1615</v>
      </c>
      <c r="H9" s="13">
        <v>80.645</v>
      </c>
      <c r="I9" s="13">
        <v>63.725</v>
      </c>
      <c r="J9" s="13">
        <v>71.194</v>
      </c>
      <c r="K9" s="13">
        <v>74.944258</v>
      </c>
      <c r="L9" s="10">
        <f t="shared" si="0"/>
        <v>77.4332526666667</v>
      </c>
      <c r="M9" s="10">
        <f>AVERAGE('Fig2c-e Model Raw'!$O$142:$O$161)</f>
        <v>216.5504</v>
      </c>
      <c r="N9" s="14">
        <f>AVERAGE('Fig2c-e Model Raw'!$P$142:$P$161)</f>
        <v>0.2886468375</v>
      </c>
      <c r="O9" s="10">
        <f>AVERAGE('Fig2c-e Model Raw'!$Z$142:$Z$161)</f>
        <v>77.5435528166667</v>
      </c>
      <c r="P9" s="10">
        <f t="shared" si="1"/>
        <v>-0.110300150000029</v>
      </c>
    </row>
    <row r="10" spans="1:16">
      <c r="A10" s="5">
        <v>9</v>
      </c>
      <c r="B10" s="5" t="s">
        <v>249</v>
      </c>
      <c r="C10" s="5" t="s">
        <v>271</v>
      </c>
      <c r="D10" s="12">
        <f>COUNT('Fig2c-e Model Raw'!$D$162:$D$181)</f>
        <v>20</v>
      </c>
      <c r="E10" s="13">
        <v>99.844</v>
      </c>
      <c r="F10" s="13">
        <v>65.2715</v>
      </c>
      <c r="G10" s="13">
        <v>78.0965</v>
      </c>
      <c r="H10" s="13">
        <v>69.556</v>
      </c>
      <c r="I10" s="13">
        <v>61.373</v>
      </c>
      <c r="J10" s="13">
        <v>65.208</v>
      </c>
      <c r="K10" s="13">
        <v>83.823567</v>
      </c>
      <c r="L10" s="10">
        <f t="shared" si="0"/>
        <v>75.7093556666667</v>
      </c>
      <c r="M10" s="10">
        <f>AVERAGE('Fig2c-e Model Raw'!$O$162:$O$181)</f>
        <v>312.2366</v>
      </c>
      <c r="N10" s="14">
        <f>AVERAGE('Fig2c-e Model Raw'!$P$162:$P$181)</f>
        <v>0.0822173625</v>
      </c>
      <c r="O10" s="10">
        <f>AVERAGE('Fig2c-e Model Raw'!$Z$162:$Z$181)</f>
        <v>75.7725557</v>
      </c>
      <c r="P10" s="10">
        <f t="shared" si="1"/>
        <v>-0.0632000333333309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1"/>
  <sheetViews>
    <sheetView showGridLines="0" workbookViewId="0">
      <selection activeCell="A1" sqref="A1"/>
    </sheetView>
  </sheetViews>
  <sheetFormatPr defaultColWidth="9" defaultRowHeight="14.4"/>
  <cols>
    <col min="1" max="1" width="10" customWidth="1"/>
    <col min="2" max="2" width="21" customWidth="1"/>
    <col min="3" max="3" width="37" customWidth="1"/>
    <col min="4" max="4" width="10" customWidth="1"/>
    <col min="5" max="5" width="15" customWidth="1"/>
    <col min="6" max="6" width="14" customWidth="1"/>
    <col min="7" max="7" width="12" customWidth="1"/>
    <col min="8" max="8" width="15" customWidth="1"/>
    <col min="9" max="9" width="14" customWidth="1"/>
    <col min="10" max="11" width="12" customWidth="1"/>
    <col min="12" max="12" width="14" customWidth="1"/>
    <col min="13" max="13" width="20" customWidth="1"/>
    <col min="14" max="14" width="18" customWidth="1"/>
    <col min="15" max="15" width="13" customWidth="1"/>
    <col min="16" max="16" width="12" customWidth="1"/>
    <col min="17" max="17" width="14" customWidth="1"/>
    <col min="18" max="18" width="16" customWidth="1"/>
    <col min="19" max="19" width="14" customWidth="1"/>
    <col min="20" max="20" width="17" customWidth="1"/>
    <col min="21" max="21" width="15" customWidth="1"/>
    <col min="22" max="23" width="19" customWidth="1"/>
    <col min="24" max="24" width="16" customWidth="1"/>
    <col min="25" max="26" width="15" customWidth="1"/>
    <col min="27" max="27" width="14" customWidth="1"/>
    <col min="28" max="28" width="65" customWidth="1"/>
  </cols>
  <sheetData>
    <row r="1" ht="34" customHeight="1" spans="1:28">
      <c r="A1" s="1" t="s">
        <v>272</v>
      </c>
      <c r="B1" s="2" t="s">
        <v>232</v>
      </c>
      <c r="C1" s="2" t="s">
        <v>250</v>
      </c>
      <c r="D1" s="2" t="s">
        <v>60</v>
      </c>
      <c r="E1" s="2" t="s">
        <v>251</v>
      </c>
      <c r="F1" s="2" t="s">
        <v>252</v>
      </c>
      <c r="G1" s="2" t="s">
        <v>253</v>
      </c>
      <c r="H1" s="2" t="s">
        <v>254</v>
      </c>
      <c r="I1" s="2" t="s">
        <v>255</v>
      </c>
      <c r="J1" s="2" t="s">
        <v>256</v>
      </c>
      <c r="K1" s="2" t="s">
        <v>257</v>
      </c>
      <c r="L1" s="2" t="s">
        <v>273</v>
      </c>
      <c r="M1" s="2" t="s">
        <v>274</v>
      </c>
      <c r="N1" s="2" t="s">
        <v>275</v>
      </c>
      <c r="O1" s="2" t="s">
        <v>276</v>
      </c>
      <c r="P1" s="2" t="s">
        <v>277</v>
      </c>
      <c r="Q1" s="2" t="s">
        <v>278</v>
      </c>
      <c r="R1" s="2" t="s">
        <v>279</v>
      </c>
      <c r="S1" s="2" t="s">
        <v>280</v>
      </c>
      <c r="T1" s="2" t="s">
        <v>281</v>
      </c>
      <c r="U1" s="2" t="s">
        <v>282</v>
      </c>
      <c r="V1" s="2" t="s">
        <v>283</v>
      </c>
      <c r="W1" s="2" t="s">
        <v>284</v>
      </c>
      <c r="X1" s="2" t="s">
        <v>285</v>
      </c>
      <c r="Y1" s="2" t="s">
        <v>286</v>
      </c>
      <c r="Z1" s="2" t="s">
        <v>287</v>
      </c>
      <c r="AA1" s="2" t="s">
        <v>288</v>
      </c>
      <c r="AB1" s="3" t="s">
        <v>289</v>
      </c>
    </row>
    <row r="2" spans="1:28">
      <c r="A2" s="5">
        <v>1</v>
      </c>
      <c r="B2" s="5" t="s">
        <v>241</v>
      </c>
      <c r="C2" s="5" t="s">
        <v>263</v>
      </c>
      <c r="D2" s="5">
        <v>1</v>
      </c>
      <c r="E2" s="6">
        <v>100</v>
      </c>
      <c r="F2" s="6">
        <v>92.59</v>
      </c>
      <c r="G2" s="6">
        <v>96.15</v>
      </c>
      <c r="H2" s="6">
        <v>80</v>
      </c>
      <c r="I2" s="6">
        <v>100</v>
      </c>
      <c r="J2" s="6">
        <v>88.889</v>
      </c>
      <c r="K2" s="6">
        <v>88.738028</v>
      </c>
      <c r="L2" s="7">
        <v>0.887771</v>
      </c>
      <c r="M2" s="7">
        <v>0.823272</v>
      </c>
      <c r="N2" s="7">
        <v>0.96124</v>
      </c>
      <c r="O2" s="6">
        <v>627.406</v>
      </c>
      <c r="P2" s="8">
        <v>0.51869488</v>
      </c>
      <c r="Q2" s="9">
        <v>178544</v>
      </c>
      <c r="R2" s="9">
        <v>166718</v>
      </c>
      <c r="S2" s="9">
        <v>345262</v>
      </c>
      <c r="T2" s="6">
        <v>627.406</v>
      </c>
      <c r="U2" s="6">
        <v>803.132</v>
      </c>
      <c r="V2" s="6">
        <v>175.7</v>
      </c>
      <c r="W2" s="6">
        <v>574.653</v>
      </c>
      <c r="X2" s="6">
        <v>52.753</v>
      </c>
      <c r="Y2" s="6">
        <v>91.2590093333333</v>
      </c>
      <c r="Z2" s="10">
        <f t="shared" ref="Z2:Z65" si="0">AVERAGE(G2,J2,K2)</f>
        <v>91.2590093333333</v>
      </c>
      <c r="AA2" s="11">
        <f t="shared" ref="AA2:AA65" si="1">Z2-Y2</f>
        <v>0</v>
      </c>
      <c r="AB2" s="5" t="s">
        <v>290</v>
      </c>
    </row>
    <row r="3" spans="1:28">
      <c r="A3" s="5">
        <v>1</v>
      </c>
      <c r="B3" s="5" t="s">
        <v>241</v>
      </c>
      <c r="C3" s="5" t="s">
        <v>263</v>
      </c>
      <c r="D3" s="5">
        <v>2</v>
      </c>
      <c r="E3" s="6">
        <v>100</v>
      </c>
      <c r="F3" s="6">
        <v>85.37</v>
      </c>
      <c r="G3" s="6">
        <v>92.11</v>
      </c>
      <c r="H3" s="6">
        <v>83.333</v>
      </c>
      <c r="I3" s="6">
        <v>95.238</v>
      </c>
      <c r="J3" s="6">
        <v>88.889</v>
      </c>
      <c r="K3" s="6">
        <v>95.201263</v>
      </c>
      <c r="L3" s="7">
        <v>0.969167</v>
      </c>
      <c r="M3" s="7">
        <v>0.905387</v>
      </c>
      <c r="N3" s="7">
        <v>0.913876</v>
      </c>
      <c r="O3" s="6">
        <v>965.652</v>
      </c>
      <c r="P3" s="8">
        <v>0.36417568</v>
      </c>
      <c r="Q3" s="9">
        <v>157022</v>
      </c>
      <c r="R3" s="9">
        <v>111775</v>
      </c>
      <c r="S3" s="9">
        <v>268797</v>
      </c>
      <c r="T3" s="6">
        <v>965.652</v>
      </c>
      <c r="U3" s="6">
        <v>1385.029</v>
      </c>
      <c r="V3" s="6">
        <v>421.586</v>
      </c>
      <c r="W3" s="6">
        <v>419.34</v>
      </c>
      <c r="X3" s="6">
        <v>544.066</v>
      </c>
      <c r="Y3" s="6">
        <v>92.0667543333333</v>
      </c>
      <c r="Z3" s="10">
        <f t="shared" si="0"/>
        <v>92.0667543333333</v>
      </c>
      <c r="AA3" s="11">
        <f t="shared" si="1"/>
        <v>0</v>
      </c>
      <c r="AB3" s="5" t="s">
        <v>291</v>
      </c>
    </row>
    <row r="4" spans="1:28">
      <c r="A4" s="5">
        <v>1</v>
      </c>
      <c r="B4" s="5" t="s">
        <v>241</v>
      </c>
      <c r="C4" s="5" t="s">
        <v>263</v>
      </c>
      <c r="D4" s="5">
        <v>3</v>
      </c>
      <c r="E4" s="6">
        <v>100</v>
      </c>
      <c r="F4" s="6">
        <v>85.37</v>
      </c>
      <c r="G4" s="6">
        <v>92.11</v>
      </c>
      <c r="H4" s="6">
        <v>96.429</v>
      </c>
      <c r="I4" s="6">
        <v>96.429</v>
      </c>
      <c r="J4" s="6">
        <v>96.429</v>
      </c>
      <c r="K4" s="6">
        <v>96.763363</v>
      </c>
      <c r="L4" s="7">
        <v>0.956346</v>
      </c>
      <c r="M4" s="7">
        <v>0.914389</v>
      </c>
      <c r="N4" s="7">
        <v>0.989011</v>
      </c>
      <c r="O4" s="6">
        <v>1637.48</v>
      </c>
      <c r="P4" s="8">
        <v>0.4807946</v>
      </c>
      <c r="Q4" s="9">
        <v>218641</v>
      </c>
      <c r="R4" s="9">
        <v>145679</v>
      </c>
      <c r="S4" s="9">
        <v>364320</v>
      </c>
      <c r="T4" s="6">
        <v>1637.48</v>
      </c>
      <c r="U4" s="6">
        <v>1981.738</v>
      </c>
      <c r="V4" s="6">
        <v>344.192</v>
      </c>
      <c r="W4" s="6">
        <v>630.61</v>
      </c>
      <c r="X4" s="6">
        <v>1006.87</v>
      </c>
      <c r="Y4" s="6">
        <v>95.1007876666667</v>
      </c>
      <c r="Z4" s="10">
        <f t="shared" si="0"/>
        <v>95.1007876666667</v>
      </c>
      <c r="AA4" s="11">
        <f t="shared" si="1"/>
        <v>0</v>
      </c>
      <c r="AB4" s="5" t="s">
        <v>292</v>
      </c>
    </row>
    <row r="5" spans="1:28">
      <c r="A5" s="5">
        <v>1</v>
      </c>
      <c r="B5" s="5" t="s">
        <v>241</v>
      </c>
      <c r="C5" s="5" t="s">
        <v>263</v>
      </c>
      <c r="D5" s="5">
        <v>4</v>
      </c>
      <c r="E5" s="6">
        <v>100</v>
      </c>
      <c r="F5" s="6">
        <v>74</v>
      </c>
      <c r="G5" s="6">
        <v>85.06</v>
      </c>
      <c r="H5" s="6">
        <v>96.667</v>
      </c>
      <c r="I5" s="6">
        <v>87.879</v>
      </c>
      <c r="J5" s="6">
        <v>92.063</v>
      </c>
      <c r="K5" s="6">
        <v>93.267768</v>
      </c>
      <c r="L5" s="7">
        <v>0.931147</v>
      </c>
      <c r="M5" s="7">
        <v>0.789848</v>
      </c>
      <c r="N5" s="7">
        <v>0.98722</v>
      </c>
      <c r="O5" s="6">
        <v>712.654</v>
      </c>
      <c r="P5" s="8">
        <v>0.48231172</v>
      </c>
      <c r="Q5" s="9">
        <v>279209</v>
      </c>
      <c r="R5" s="9">
        <v>136159</v>
      </c>
      <c r="S5" s="9">
        <v>415368</v>
      </c>
      <c r="T5" s="6">
        <v>712.654</v>
      </c>
      <c r="U5" s="6">
        <v>853.602</v>
      </c>
      <c r="V5" s="6">
        <v>140.882</v>
      </c>
      <c r="W5" s="6">
        <v>565.94</v>
      </c>
      <c r="X5" s="6">
        <v>146.714</v>
      </c>
      <c r="Y5" s="6">
        <v>90.130256</v>
      </c>
      <c r="Z5" s="10">
        <f t="shared" si="0"/>
        <v>90.130256</v>
      </c>
      <c r="AA5" s="11">
        <f t="shared" si="1"/>
        <v>0</v>
      </c>
      <c r="AB5" s="5" t="s">
        <v>293</v>
      </c>
    </row>
    <row r="6" spans="1:28">
      <c r="A6" s="5">
        <v>1</v>
      </c>
      <c r="B6" s="5" t="s">
        <v>241</v>
      </c>
      <c r="C6" s="5" t="s">
        <v>263</v>
      </c>
      <c r="D6" s="5">
        <v>5</v>
      </c>
      <c r="E6" s="6">
        <v>100</v>
      </c>
      <c r="F6" s="6">
        <v>76.19</v>
      </c>
      <c r="G6" s="6">
        <v>86.49</v>
      </c>
      <c r="H6" s="6">
        <v>96.552</v>
      </c>
      <c r="I6" s="6">
        <v>75.676</v>
      </c>
      <c r="J6" s="6">
        <v>84.848</v>
      </c>
      <c r="K6" s="6">
        <v>88.745828</v>
      </c>
      <c r="L6" s="7">
        <v>0.92585</v>
      </c>
      <c r="M6" s="7">
        <v>0.672977</v>
      </c>
      <c r="N6" s="7">
        <v>1</v>
      </c>
      <c r="O6" s="6">
        <v>352.126</v>
      </c>
      <c r="P6" s="8">
        <v>0.33237292</v>
      </c>
      <c r="Q6" s="9">
        <v>166511</v>
      </c>
      <c r="R6" s="9">
        <v>98147</v>
      </c>
      <c r="S6" s="9">
        <v>264658</v>
      </c>
      <c r="T6" s="6">
        <v>352.126</v>
      </c>
      <c r="U6" s="6">
        <v>612.753</v>
      </c>
      <c r="V6" s="6">
        <v>260.594</v>
      </c>
      <c r="W6" s="6">
        <v>295.693</v>
      </c>
      <c r="X6" s="6">
        <v>56.433</v>
      </c>
      <c r="Y6" s="6">
        <v>86.6946093333333</v>
      </c>
      <c r="Z6" s="10">
        <f t="shared" si="0"/>
        <v>86.6946093333333</v>
      </c>
      <c r="AA6" s="11">
        <f t="shared" si="1"/>
        <v>0</v>
      </c>
      <c r="AB6" s="5" t="s">
        <v>294</v>
      </c>
    </row>
    <row r="7" spans="1:28">
      <c r="A7" s="5">
        <v>1</v>
      </c>
      <c r="B7" s="5" t="s">
        <v>241</v>
      </c>
      <c r="C7" s="5" t="s">
        <v>263</v>
      </c>
      <c r="D7" s="5">
        <v>6</v>
      </c>
      <c r="E7" s="6">
        <v>100</v>
      </c>
      <c r="F7" s="6">
        <v>74.6</v>
      </c>
      <c r="G7" s="6">
        <v>85.45</v>
      </c>
      <c r="H7" s="6">
        <v>88.889</v>
      </c>
      <c r="I7" s="6">
        <v>100</v>
      </c>
      <c r="J7" s="6">
        <v>94.118</v>
      </c>
      <c r="K7" s="6">
        <v>94.185458</v>
      </c>
      <c r="L7" s="7">
        <v>0.945833</v>
      </c>
      <c r="M7" s="7">
        <v>0.821893</v>
      </c>
      <c r="N7" s="7">
        <v>0.992157</v>
      </c>
      <c r="O7" s="6">
        <v>476.509</v>
      </c>
      <c r="P7" s="8">
        <v>0.36107456</v>
      </c>
      <c r="Q7" s="9">
        <v>172852</v>
      </c>
      <c r="R7" s="9">
        <v>107962</v>
      </c>
      <c r="S7" s="9">
        <v>280814</v>
      </c>
      <c r="T7" s="6">
        <v>476.509</v>
      </c>
      <c r="U7" s="6">
        <v>672.9</v>
      </c>
      <c r="V7" s="6">
        <v>196.351</v>
      </c>
      <c r="W7" s="6">
        <v>430.389</v>
      </c>
      <c r="X7" s="6">
        <v>46.12</v>
      </c>
      <c r="Y7" s="6">
        <v>91.2511526666667</v>
      </c>
      <c r="Z7" s="10">
        <f t="shared" si="0"/>
        <v>91.2511526666667</v>
      </c>
      <c r="AA7" s="11">
        <f t="shared" si="1"/>
        <v>0</v>
      </c>
      <c r="AB7" s="5" t="s">
        <v>295</v>
      </c>
    </row>
    <row r="8" spans="1:28">
      <c r="A8" s="5">
        <v>1</v>
      </c>
      <c r="B8" s="5" t="s">
        <v>241</v>
      </c>
      <c r="C8" s="5" t="s">
        <v>263</v>
      </c>
      <c r="D8" s="5">
        <v>8</v>
      </c>
      <c r="E8" s="6">
        <v>97.26</v>
      </c>
      <c r="F8" s="6">
        <v>80.22</v>
      </c>
      <c r="G8" s="6">
        <v>87.92</v>
      </c>
      <c r="H8" s="6">
        <v>65.385</v>
      </c>
      <c r="I8" s="6">
        <v>94.444</v>
      </c>
      <c r="J8" s="6">
        <v>77.273</v>
      </c>
      <c r="K8" s="6">
        <v>95.572103</v>
      </c>
      <c r="L8" s="7">
        <v>0.9225</v>
      </c>
      <c r="M8" s="7">
        <v>0.90444</v>
      </c>
      <c r="N8" s="7">
        <v>0.990476</v>
      </c>
      <c r="O8" s="6">
        <v>538.737</v>
      </c>
      <c r="P8" s="8">
        <v>0.40420512</v>
      </c>
      <c r="Q8" s="9">
        <v>163206</v>
      </c>
      <c r="R8" s="9">
        <v>125907</v>
      </c>
      <c r="S8" s="9">
        <v>289113</v>
      </c>
      <c r="T8" s="6">
        <v>538.737</v>
      </c>
      <c r="U8" s="6">
        <v>752.209</v>
      </c>
      <c r="V8" s="6">
        <v>213.425</v>
      </c>
      <c r="W8" s="6">
        <v>433.144</v>
      </c>
      <c r="X8" s="6">
        <v>105.593</v>
      </c>
      <c r="Y8" s="6">
        <v>86.921701</v>
      </c>
      <c r="Z8" s="10">
        <f t="shared" si="0"/>
        <v>86.921701</v>
      </c>
      <c r="AA8" s="11">
        <f t="shared" si="1"/>
        <v>0</v>
      </c>
      <c r="AB8" s="5" t="s">
        <v>296</v>
      </c>
    </row>
    <row r="9" spans="1:28">
      <c r="A9" s="5">
        <v>1</v>
      </c>
      <c r="B9" s="5" t="s">
        <v>241</v>
      </c>
      <c r="C9" s="5" t="s">
        <v>263</v>
      </c>
      <c r="D9" s="5">
        <v>9</v>
      </c>
      <c r="E9" s="6">
        <v>100</v>
      </c>
      <c r="F9" s="6">
        <v>94.12</v>
      </c>
      <c r="G9" s="6">
        <v>96.97</v>
      </c>
      <c r="H9" s="6">
        <v>93.103</v>
      </c>
      <c r="I9" s="6">
        <v>90</v>
      </c>
      <c r="J9" s="6">
        <v>91.525</v>
      </c>
      <c r="K9" s="6">
        <v>81.879824</v>
      </c>
      <c r="L9" s="7">
        <v>0.921654</v>
      </c>
      <c r="M9" s="7">
        <v>0.615072</v>
      </c>
      <c r="N9" s="7">
        <v>0.957597</v>
      </c>
      <c r="O9" s="6">
        <v>637.652</v>
      </c>
      <c r="P9" s="8">
        <v>0.48657004</v>
      </c>
      <c r="Q9" s="9">
        <v>252461</v>
      </c>
      <c r="R9" s="9">
        <v>142230</v>
      </c>
      <c r="S9" s="9">
        <v>394691</v>
      </c>
      <c r="T9" s="6">
        <v>637.652</v>
      </c>
      <c r="U9" s="6">
        <v>886.587</v>
      </c>
      <c r="V9" s="6">
        <v>248.901</v>
      </c>
      <c r="W9" s="6">
        <v>579.297</v>
      </c>
      <c r="X9" s="6">
        <v>58.355</v>
      </c>
      <c r="Y9" s="6">
        <v>90.1249413333333</v>
      </c>
      <c r="Z9" s="10">
        <f t="shared" si="0"/>
        <v>90.1249413333333</v>
      </c>
      <c r="AA9" s="11">
        <f t="shared" si="1"/>
        <v>0</v>
      </c>
      <c r="AB9" s="5" t="s">
        <v>297</v>
      </c>
    </row>
    <row r="10" spans="1:28">
      <c r="A10" s="5">
        <v>1</v>
      </c>
      <c r="B10" s="5" t="s">
        <v>241</v>
      </c>
      <c r="C10" s="5" t="s">
        <v>263</v>
      </c>
      <c r="D10" s="5">
        <v>10</v>
      </c>
      <c r="E10" s="6">
        <v>84.62</v>
      </c>
      <c r="F10" s="6">
        <v>100</v>
      </c>
      <c r="G10" s="6">
        <v>91.67</v>
      </c>
      <c r="H10" s="6">
        <v>87.5</v>
      </c>
      <c r="I10" s="6">
        <v>100</v>
      </c>
      <c r="J10" s="6">
        <v>93.333</v>
      </c>
      <c r="K10" s="6">
        <v>84.503238</v>
      </c>
      <c r="L10" s="7">
        <v>0.940181</v>
      </c>
      <c r="M10" s="7">
        <v>0.667393</v>
      </c>
      <c r="N10" s="7">
        <v>0.995781</v>
      </c>
      <c r="O10" s="6">
        <v>577.478</v>
      </c>
      <c r="P10" s="8">
        <v>0.47227884</v>
      </c>
      <c r="Q10" s="9">
        <v>254637</v>
      </c>
      <c r="R10" s="9">
        <v>136454</v>
      </c>
      <c r="S10" s="9">
        <v>391091</v>
      </c>
      <c r="T10" s="6">
        <v>577.478</v>
      </c>
      <c r="U10" s="6">
        <v>854.073</v>
      </c>
      <c r="V10" s="6">
        <v>276.565</v>
      </c>
      <c r="W10" s="6">
        <v>524.336</v>
      </c>
      <c r="X10" s="6">
        <v>53.142</v>
      </c>
      <c r="Y10" s="6">
        <v>89.8354126666667</v>
      </c>
      <c r="Z10" s="10">
        <f t="shared" si="0"/>
        <v>89.8354126666667</v>
      </c>
      <c r="AA10" s="11">
        <f t="shared" si="1"/>
        <v>0</v>
      </c>
      <c r="AB10" s="5" t="s">
        <v>298</v>
      </c>
    </row>
    <row r="11" spans="1:28">
      <c r="A11" s="5">
        <v>1</v>
      </c>
      <c r="B11" s="5" t="s">
        <v>241</v>
      </c>
      <c r="C11" s="5" t="s">
        <v>263</v>
      </c>
      <c r="D11" s="5">
        <v>12</v>
      </c>
      <c r="E11" s="6">
        <v>96.47</v>
      </c>
      <c r="F11" s="6">
        <v>95.7</v>
      </c>
      <c r="G11" s="6">
        <v>96.08</v>
      </c>
      <c r="H11" s="6">
        <v>91.429</v>
      </c>
      <c r="I11" s="6">
        <v>94.118</v>
      </c>
      <c r="J11" s="6">
        <v>92.754</v>
      </c>
      <c r="K11" s="6">
        <v>92.754415</v>
      </c>
      <c r="L11" s="7">
        <v>0.921612</v>
      </c>
      <c r="M11" s="7">
        <v>0.89928</v>
      </c>
      <c r="N11" s="7">
        <v>0.951087</v>
      </c>
      <c r="O11" s="6">
        <v>304.81</v>
      </c>
      <c r="P11" s="8">
        <v>0.34259676</v>
      </c>
      <c r="Q11" s="9">
        <v>198549</v>
      </c>
      <c r="R11" s="9">
        <v>96680</v>
      </c>
      <c r="S11" s="9">
        <v>295229</v>
      </c>
      <c r="T11" s="6">
        <v>304.81</v>
      </c>
      <c r="U11" s="6">
        <v>527.765</v>
      </c>
      <c r="V11" s="6">
        <v>222.938</v>
      </c>
      <c r="W11" s="6">
        <v>255.453</v>
      </c>
      <c r="X11" s="6">
        <v>49.357</v>
      </c>
      <c r="Y11" s="6">
        <v>93.862805</v>
      </c>
      <c r="Z11" s="10">
        <f t="shared" si="0"/>
        <v>93.862805</v>
      </c>
      <c r="AA11" s="11">
        <f t="shared" si="1"/>
        <v>0</v>
      </c>
      <c r="AB11" s="5" t="s">
        <v>299</v>
      </c>
    </row>
    <row r="12" spans="1:28">
      <c r="A12" s="5">
        <v>1</v>
      </c>
      <c r="B12" s="5" t="s">
        <v>241</v>
      </c>
      <c r="C12" s="5" t="s">
        <v>263</v>
      </c>
      <c r="D12" s="5">
        <v>20</v>
      </c>
      <c r="E12" s="6">
        <v>100</v>
      </c>
      <c r="F12" s="6">
        <v>85.48</v>
      </c>
      <c r="G12" s="6">
        <v>92.17</v>
      </c>
      <c r="H12" s="6">
        <v>85.714</v>
      </c>
      <c r="I12" s="6">
        <v>96.774</v>
      </c>
      <c r="J12" s="6">
        <v>90.909</v>
      </c>
      <c r="K12" s="6">
        <v>92.078184</v>
      </c>
      <c r="L12" s="7">
        <v>0.913559</v>
      </c>
      <c r="M12" s="7">
        <v>0.885571</v>
      </c>
      <c r="N12" s="7">
        <v>0.965732</v>
      </c>
      <c r="O12" s="6">
        <v>1440.198</v>
      </c>
      <c r="P12" s="8">
        <v>0.45182236</v>
      </c>
      <c r="Q12" s="9">
        <v>164645</v>
      </c>
      <c r="R12" s="9">
        <v>143704</v>
      </c>
      <c r="S12" s="9">
        <v>308349</v>
      </c>
      <c r="T12" s="6">
        <v>1440.198</v>
      </c>
      <c r="U12" s="6">
        <v>1669.564</v>
      </c>
      <c r="V12" s="6">
        <v>229.339</v>
      </c>
      <c r="W12" s="6">
        <v>521.091</v>
      </c>
      <c r="X12" s="6">
        <v>919.107</v>
      </c>
      <c r="Y12" s="6">
        <v>91.7190613333333</v>
      </c>
      <c r="Z12" s="10">
        <f t="shared" si="0"/>
        <v>91.7190613333333</v>
      </c>
      <c r="AA12" s="11">
        <f t="shared" si="1"/>
        <v>0</v>
      </c>
      <c r="AB12" s="5" t="s">
        <v>300</v>
      </c>
    </row>
    <row r="13" spans="1:28">
      <c r="A13" s="5">
        <v>1</v>
      </c>
      <c r="B13" s="5" t="s">
        <v>241</v>
      </c>
      <c r="C13" s="5" t="s">
        <v>263</v>
      </c>
      <c r="D13" s="5">
        <v>22</v>
      </c>
      <c r="E13" s="6">
        <v>98.18</v>
      </c>
      <c r="F13" s="6">
        <v>91.53</v>
      </c>
      <c r="G13" s="6">
        <v>94.74</v>
      </c>
      <c r="H13" s="6">
        <v>86.667</v>
      </c>
      <c r="I13" s="6">
        <v>100</v>
      </c>
      <c r="J13" s="6">
        <v>92.857</v>
      </c>
      <c r="K13" s="6">
        <v>88.687515</v>
      </c>
      <c r="L13" s="7">
        <v>0.853243</v>
      </c>
      <c r="M13" s="7">
        <v>0.833616</v>
      </c>
      <c r="N13" s="7">
        <v>0.936306</v>
      </c>
      <c r="O13" s="6">
        <v>337.445</v>
      </c>
      <c r="P13" s="8">
        <v>0.34792824</v>
      </c>
      <c r="Q13" s="9">
        <v>164016</v>
      </c>
      <c r="R13" s="9">
        <v>104455</v>
      </c>
      <c r="S13" s="9">
        <v>268471</v>
      </c>
      <c r="T13" s="6">
        <v>337.445</v>
      </c>
      <c r="U13" s="6">
        <v>564.256</v>
      </c>
      <c r="V13" s="6">
        <v>226.788</v>
      </c>
      <c r="W13" s="6">
        <v>291.065</v>
      </c>
      <c r="X13" s="6">
        <v>46.38</v>
      </c>
      <c r="Y13" s="6">
        <v>92.0948383333333</v>
      </c>
      <c r="Z13" s="10">
        <f t="shared" si="0"/>
        <v>92.0948383333333</v>
      </c>
      <c r="AA13" s="11">
        <f t="shared" si="1"/>
        <v>0</v>
      </c>
      <c r="AB13" s="5" t="s">
        <v>301</v>
      </c>
    </row>
    <row r="14" spans="1:28">
      <c r="A14" s="5">
        <v>1</v>
      </c>
      <c r="B14" s="5" t="s">
        <v>241</v>
      </c>
      <c r="C14" s="5" t="s">
        <v>263</v>
      </c>
      <c r="D14" s="5">
        <v>24</v>
      </c>
      <c r="E14" s="6">
        <v>100</v>
      </c>
      <c r="F14" s="6">
        <v>89.19</v>
      </c>
      <c r="G14" s="6">
        <v>94.29</v>
      </c>
      <c r="H14" s="6">
        <v>72.727</v>
      </c>
      <c r="I14" s="6">
        <v>96</v>
      </c>
      <c r="J14" s="6">
        <v>82.759</v>
      </c>
      <c r="K14" s="6">
        <v>92.252462</v>
      </c>
      <c r="L14" s="7">
        <v>0.946417</v>
      </c>
      <c r="M14" s="7">
        <v>0.747288</v>
      </c>
      <c r="N14" s="7">
        <v>0.995</v>
      </c>
      <c r="O14" s="6">
        <v>421.217</v>
      </c>
      <c r="P14" s="8">
        <v>0.41313228</v>
      </c>
      <c r="Q14" s="9">
        <v>249339</v>
      </c>
      <c r="R14" s="9">
        <v>114933</v>
      </c>
      <c r="S14" s="9">
        <v>364272</v>
      </c>
      <c r="T14" s="6">
        <v>421.217</v>
      </c>
      <c r="U14" s="6">
        <v>607.497</v>
      </c>
      <c r="V14" s="6">
        <v>186.254</v>
      </c>
      <c r="W14" s="6">
        <v>328.017</v>
      </c>
      <c r="X14" s="6">
        <v>93.2</v>
      </c>
      <c r="Y14" s="6">
        <v>89.767154</v>
      </c>
      <c r="Z14" s="10">
        <f t="shared" si="0"/>
        <v>89.767154</v>
      </c>
      <c r="AA14" s="11">
        <f t="shared" si="1"/>
        <v>0</v>
      </c>
      <c r="AB14" s="5" t="s">
        <v>302</v>
      </c>
    </row>
    <row r="15" spans="1:28">
      <c r="A15" s="5">
        <v>1</v>
      </c>
      <c r="B15" s="5" t="s">
        <v>241</v>
      </c>
      <c r="C15" s="5" t="s">
        <v>263</v>
      </c>
      <c r="D15" s="5">
        <v>26</v>
      </c>
      <c r="E15" s="6">
        <v>100</v>
      </c>
      <c r="F15" s="6">
        <v>85.15</v>
      </c>
      <c r="G15" s="6">
        <v>91.98</v>
      </c>
      <c r="H15" s="6">
        <v>74.194</v>
      </c>
      <c r="I15" s="6">
        <v>92</v>
      </c>
      <c r="J15" s="6">
        <v>82.143</v>
      </c>
      <c r="K15" s="6">
        <v>95.104069</v>
      </c>
      <c r="L15" s="7">
        <v>0.947841</v>
      </c>
      <c r="M15" s="7">
        <v>0.856418</v>
      </c>
      <c r="N15" s="7">
        <v>0.996416</v>
      </c>
      <c r="O15" s="6">
        <v>564.326</v>
      </c>
      <c r="P15" s="8">
        <v>0.433785</v>
      </c>
      <c r="Q15" s="9">
        <v>181017</v>
      </c>
      <c r="R15" s="9">
        <v>134143</v>
      </c>
      <c r="S15" s="9">
        <v>315160</v>
      </c>
      <c r="T15" s="6">
        <v>564.326</v>
      </c>
      <c r="U15" s="6">
        <v>749.603</v>
      </c>
      <c r="V15" s="6">
        <v>185.252</v>
      </c>
      <c r="W15" s="6">
        <v>509.443</v>
      </c>
      <c r="X15" s="6">
        <v>54.883</v>
      </c>
      <c r="Y15" s="6">
        <v>89.7423563333333</v>
      </c>
      <c r="Z15" s="10">
        <f t="shared" si="0"/>
        <v>89.7423563333333</v>
      </c>
      <c r="AA15" s="11">
        <f t="shared" si="1"/>
        <v>0</v>
      </c>
      <c r="AB15" s="5" t="s">
        <v>303</v>
      </c>
    </row>
    <row r="16" spans="1:28">
      <c r="A16" s="5">
        <v>1</v>
      </c>
      <c r="B16" s="5" t="s">
        <v>241</v>
      </c>
      <c r="C16" s="5" t="s">
        <v>263</v>
      </c>
      <c r="D16" s="5">
        <v>29</v>
      </c>
      <c r="E16" s="6">
        <v>100</v>
      </c>
      <c r="F16" s="6">
        <v>92.96</v>
      </c>
      <c r="G16" s="6">
        <v>96.35</v>
      </c>
      <c r="H16" s="6">
        <v>92.308</v>
      </c>
      <c r="I16" s="6">
        <v>100</v>
      </c>
      <c r="J16" s="6">
        <v>96</v>
      </c>
      <c r="K16" s="6">
        <v>95.601138</v>
      </c>
      <c r="L16" s="7">
        <v>0.964601</v>
      </c>
      <c r="M16" s="7">
        <v>0.834496</v>
      </c>
      <c r="N16" s="7">
        <v>0.978261</v>
      </c>
      <c r="O16" s="6">
        <v>543.85</v>
      </c>
      <c r="P16" s="8">
        <v>0.41524648</v>
      </c>
      <c r="Q16" s="9">
        <v>211076</v>
      </c>
      <c r="R16" s="9">
        <v>122111</v>
      </c>
      <c r="S16" s="9">
        <v>333187</v>
      </c>
      <c r="T16" s="6">
        <v>543.85</v>
      </c>
      <c r="U16" s="6">
        <v>728.409</v>
      </c>
      <c r="V16" s="6">
        <v>184.533</v>
      </c>
      <c r="W16" s="6">
        <v>489.643</v>
      </c>
      <c r="X16" s="6">
        <v>54.207</v>
      </c>
      <c r="Y16" s="6">
        <v>95.9837126666667</v>
      </c>
      <c r="Z16" s="10">
        <f t="shared" si="0"/>
        <v>95.9837126666667</v>
      </c>
      <c r="AA16" s="11">
        <f t="shared" si="1"/>
        <v>0</v>
      </c>
      <c r="AB16" s="5" t="s">
        <v>304</v>
      </c>
    </row>
    <row r="17" spans="1:28">
      <c r="A17" s="5">
        <v>1</v>
      </c>
      <c r="B17" s="5" t="s">
        <v>241</v>
      </c>
      <c r="C17" s="5" t="s">
        <v>263</v>
      </c>
      <c r="D17" s="5">
        <v>44</v>
      </c>
      <c r="E17" s="6">
        <v>100</v>
      </c>
      <c r="F17" s="6">
        <v>78.31</v>
      </c>
      <c r="G17" s="6">
        <v>87.83</v>
      </c>
      <c r="H17" s="6">
        <v>88.333</v>
      </c>
      <c r="I17" s="6">
        <v>100</v>
      </c>
      <c r="J17" s="6">
        <v>93.805</v>
      </c>
      <c r="K17" s="6">
        <v>88.783748</v>
      </c>
      <c r="L17" s="7">
        <v>0.895348</v>
      </c>
      <c r="M17" s="7">
        <v>0.790346</v>
      </c>
      <c r="N17" s="7">
        <v>0.96</v>
      </c>
      <c r="O17" s="6">
        <v>1512.766</v>
      </c>
      <c r="P17" s="8">
        <v>0.42334424</v>
      </c>
      <c r="Q17" s="9">
        <v>160654</v>
      </c>
      <c r="R17" s="9">
        <v>133582</v>
      </c>
      <c r="S17" s="9">
        <v>294236</v>
      </c>
      <c r="T17" s="6">
        <v>1512.766</v>
      </c>
      <c r="U17" s="6">
        <v>1703.587</v>
      </c>
      <c r="V17" s="6">
        <v>190.792</v>
      </c>
      <c r="W17" s="6">
        <v>593.805</v>
      </c>
      <c r="X17" s="6">
        <v>918.961</v>
      </c>
      <c r="Y17" s="6">
        <v>90.1395826666667</v>
      </c>
      <c r="Z17" s="10">
        <f t="shared" si="0"/>
        <v>90.1395826666667</v>
      </c>
      <c r="AA17" s="11">
        <f t="shared" si="1"/>
        <v>0</v>
      </c>
      <c r="AB17" s="5" t="s">
        <v>305</v>
      </c>
    </row>
    <row r="18" spans="1:28">
      <c r="A18" s="5">
        <v>1</v>
      </c>
      <c r="B18" s="5" t="s">
        <v>241</v>
      </c>
      <c r="C18" s="5" t="s">
        <v>263</v>
      </c>
      <c r="D18" s="5">
        <v>52</v>
      </c>
      <c r="E18" s="6">
        <v>98.39</v>
      </c>
      <c r="F18" s="6">
        <v>83.33</v>
      </c>
      <c r="G18" s="6">
        <v>90.24</v>
      </c>
      <c r="H18" s="6">
        <v>82.759</v>
      </c>
      <c r="I18" s="6">
        <v>100</v>
      </c>
      <c r="J18" s="6">
        <v>90.566</v>
      </c>
      <c r="K18" s="6">
        <v>96.227771</v>
      </c>
      <c r="L18" s="7">
        <v>0.912917</v>
      </c>
      <c r="M18" s="7">
        <v>0.922685</v>
      </c>
      <c r="N18" s="7">
        <v>1</v>
      </c>
      <c r="O18" s="6">
        <v>390.435</v>
      </c>
      <c r="P18" s="8">
        <v>0.36203948</v>
      </c>
      <c r="Q18" s="9">
        <v>155371</v>
      </c>
      <c r="R18" s="9">
        <v>111241</v>
      </c>
      <c r="S18" s="9">
        <v>266612</v>
      </c>
      <c r="T18" s="6">
        <v>390.435</v>
      </c>
      <c r="U18" s="6">
        <v>610.284</v>
      </c>
      <c r="V18" s="6">
        <v>219.829</v>
      </c>
      <c r="W18" s="6">
        <v>390.435</v>
      </c>
      <c r="X18" s="6">
        <v>0</v>
      </c>
      <c r="Y18" s="6">
        <v>92.3445903333333</v>
      </c>
      <c r="Z18" s="10">
        <f t="shared" si="0"/>
        <v>92.3445903333333</v>
      </c>
      <c r="AA18" s="11">
        <f t="shared" si="1"/>
        <v>0</v>
      </c>
      <c r="AB18" s="5" t="s">
        <v>306</v>
      </c>
    </row>
    <row r="19" spans="1:28">
      <c r="A19" s="5">
        <v>1</v>
      </c>
      <c r="B19" s="5" t="s">
        <v>241</v>
      </c>
      <c r="C19" s="5" t="s">
        <v>263</v>
      </c>
      <c r="D19" s="5">
        <v>53</v>
      </c>
      <c r="E19" s="6">
        <v>100</v>
      </c>
      <c r="F19" s="6">
        <v>98.39</v>
      </c>
      <c r="G19" s="6">
        <v>99.19</v>
      </c>
      <c r="H19" s="6">
        <v>93.333</v>
      </c>
      <c r="I19" s="6">
        <v>90.323</v>
      </c>
      <c r="J19" s="6">
        <v>91.803</v>
      </c>
      <c r="K19" s="6">
        <v>94.230259</v>
      </c>
      <c r="L19" s="7">
        <v>0.941392</v>
      </c>
      <c r="M19" s="7">
        <v>0.844226</v>
      </c>
      <c r="N19" s="7">
        <v>0.986547</v>
      </c>
      <c r="O19" s="6">
        <v>435.83</v>
      </c>
      <c r="P19" s="8">
        <v>0.37921004</v>
      </c>
      <c r="Q19" s="9">
        <v>176695</v>
      </c>
      <c r="R19" s="9">
        <v>114191</v>
      </c>
      <c r="S19" s="9">
        <v>290886</v>
      </c>
      <c r="T19" s="6">
        <v>435.83</v>
      </c>
      <c r="U19" s="6">
        <v>657.063</v>
      </c>
      <c r="V19" s="6">
        <v>221.216</v>
      </c>
      <c r="W19" s="6">
        <v>382.274</v>
      </c>
      <c r="X19" s="6">
        <v>53.556</v>
      </c>
      <c r="Y19" s="6">
        <v>95.0744196666667</v>
      </c>
      <c r="Z19" s="10">
        <f t="shared" si="0"/>
        <v>95.0744196666667</v>
      </c>
      <c r="AA19" s="11">
        <f t="shared" si="1"/>
        <v>0</v>
      </c>
      <c r="AB19" s="5" t="s">
        <v>307</v>
      </c>
    </row>
    <row r="20" spans="1:28">
      <c r="A20" s="5">
        <v>1</v>
      </c>
      <c r="B20" s="5" t="s">
        <v>241</v>
      </c>
      <c r="C20" s="5" t="s">
        <v>263</v>
      </c>
      <c r="D20" s="5">
        <v>145</v>
      </c>
      <c r="E20" s="6">
        <v>94.44</v>
      </c>
      <c r="F20" s="6">
        <v>94.74</v>
      </c>
      <c r="G20" s="6">
        <v>94.59</v>
      </c>
      <c r="H20" s="6">
        <v>78.261</v>
      </c>
      <c r="I20" s="6">
        <v>94.737</v>
      </c>
      <c r="J20" s="6">
        <v>85.714</v>
      </c>
      <c r="K20" s="6">
        <v>93.460947</v>
      </c>
      <c r="L20" s="7">
        <v>0.914265</v>
      </c>
      <c r="M20" s="7">
        <v>0.848475</v>
      </c>
      <c r="N20" s="7">
        <v>1</v>
      </c>
      <c r="O20" s="6">
        <v>1316.257</v>
      </c>
      <c r="P20" s="8">
        <v>0.37829792</v>
      </c>
      <c r="Q20" s="9">
        <v>181492</v>
      </c>
      <c r="R20" s="9">
        <v>113046</v>
      </c>
      <c r="S20" s="9">
        <v>294538</v>
      </c>
      <c r="T20" s="6">
        <v>1316.257</v>
      </c>
      <c r="U20" s="6">
        <v>1520.853</v>
      </c>
      <c r="V20" s="6">
        <v>204.575</v>
      </c>
      <c r="W20" s="6">
        <v>399.307</v>
      </c>
      <c r="X20" s="6">
        <v>916.95</v>
      </c>
      <c r="Y20" s="6">
        <v>91.2549823333333</v>
      </c>
      <c r="Z20" s="10">
        <f t="shared" si="0"/>
        <v>91.2549823333333</v>
      </c>
      <c r="AA20" s="11">
        <f t="shared" si="1"/>
        <v>0</v>
      </c>
      <c r="AB20" s="5" t="s">
        <v>308</v>
      </c>
    </row>
    <row r="21" spans="1:28">
      <c r="A21" s="5">
        <v>1</v>
      </c>
      <c r="B21" s="5" t="s">
        <v>241</v>
      </c>
      <c r="C21" s="5" t="s">
        <v>263</v>
      </c>
      <c r="D21" s="5">
        <v>147</v>
      </c>
      <c r="E21" s="6">
        <v>92</v>
      </c>
      <c r="F21" s="6">
        <v>93.1</v>
      </c>
      <c r="G21" s="6">
        <v>92.55</v>
      </c>
      <c r="H21" s="6">
        <v>73.684</v>
      </c>
      <c r="I21" s="6">
        <v>82.353</v>
      </c>
      <c r="J21" s="6">
        <v>77.778</v>
      </c>
      <c r="K21" s="6">
        <v>95.518917</v>
      </c>
      <c r="L21" s="7">
        <v>0.942244</v>
      </c>
      <c r="M21" s="7">
        <v>0.869521</v>
      </c>
      <c r="N21" s="7">
        <v>1</v>
      </c>
      <c r="O21" s="6">
        <v>886.089</v>
      </c>
      <c r="P21" s="8">
        <v>0.2925758</v>
      </c>
      <c r="Q21" s="9">
        <v>126805</v>
      </c>
      <c r="R21" s="9">
        <v>89690</v>
      </c>
      <c r="S21" s="9">
        <v>216495</v>
      </c>
      <c r="T21" s="6">
        <v>886.089</v>
      </c>
      <c r="U21" s="6">
        <v>1101.547</v>
      </c>
      <c r="V21" s="6">
        <v>229.997</v>
      </c>
      <c r="W21" s="6">
        <v>215.437</v>
      </c>
      <c r="X21" s="6">
        <v>656.092</v>
      </c>
      <c r="Y21" s="6">
        <v>88.615639</v>
      </c>
      <c r="Z21" s="10">
        <f t="shared" si="0"/>
        <v>88.615639</v>
      </c>
      <c r="AA21" s="11">
        <f t="shared" si="1"/>
        <v>0</v>
      </c>
      <c r="AB21" s="5" t="s">
        <v>309</v>
      </c>
    </row>
    <row r="22" spans="1:28">
      <c r="A22" s="5">
        <v>2</v>
      </c>
      <c r="B22" s="5" t="s">
        <v>242</v>
      </c>
      <c r="C22" s="5" t="s">
        <v>264</v>
      </c>
      <c r="D22" s="5">
        <v>1</v>
      </c>
      <c r="E22" s="6">
        <v>92.5</v>
      </c>
      <c r="F22" s="6">
        <v>72.22</v>
      </c>
      <c r="G22" s="6">
        <v>81.11</v>
      </c>
      <c r="H22" s="6">
        <v>78.947</v>
      </c>
      <c r="I22" s="6">
        <v>93.75</v>
      </c>
      <c r="J22" s="6">
        <v>85.714</v>
      </c>
      <c r="K22" s="6">
        <v>96.186201</v>
      </c>
      <c r="L22" s="7">
        <v>0.944274</v>
      </c>
      <c r="M22" s="7">
        <v>0.899027</v>
      </c>
      <c r="N22" s="7">
        <v>0.982759</v>
      </c>
      <c r="O22" s="6">
        <v>1646.755</v>
      </c>
      <c r="P22" s="8">
        <v>0.2181078</v>
      </c>
      <c r="Q22" s="9">
        <v>139714</v>
      </c>
      <c r="R22" s="9">
        <v>73414</v>
      </c>
      <c r="S22" s="9">
        <v>213128</v>
      </c>
      <c r="T22" s="6">
        <v>1646.755</v>
      </c>
      <c r="U22" s="6">
        <v>1997.199</v>
      </c>
      <c r="V22" s="6">
        <v>350.416</v>
      </c>
      <c r="W22" s="6">
        <v>1611.867</v>
      </c>
      <c r="X22" s="6">
        <v>34.888</v>
      </c>
      <c r="Y22" s="6">
        <v>87.670067</v>
      </c>
      <c r="Z22" s="10">
        <f t="shared" si="0"/>
        <v>87.670067</v>
      </c>
      <c r="AA22" s="11">
        <f t="shared" si="1"/>
        <v>0</v>
      </c>
      <c r="AB22" s="5" t="s">
        <v>310</v>
      </c>
    </row>
    <row r="23" spans="1:28">
      <c r="A23" s="5">
        <v>2</v>
      </c>
      <c r="B23" s="5" t="s">
        <v>242</v>
      </c>
      <c r="C23" s="5" t="s">
        <v>264</v>
      </c>
      <c r="D23" s="5">
        <v>2</v>
      </c>
      <c r="E23" s="6">
        <v>91.89</v>
      </c>
      <c r="F23" s="6">
        <v>85.37</v>
      </c>
      <c r="G23" s="6">
        <v>88.51</v>
      </c>
      <c r="H23" s="6">
        <v>69.231</v>
      </c>
      <c r="I23" s="6">
        <v>85.714</v>
      </c>
      <c r="J23" s="6">
        <v>76.596</v>
      </c>
      <c r="K23" s="6">
        <v>88.122805</v>
      </c>
      <c r="L23" s="7">
        <v>0.851755</v>
      </c>
      <c r="M23" s="7">
        <v>0.736975</v>
      </c>
      <c r="N23" s="7">
        <v>0.932907</v>
      </c>
      <c r="O23" s="6">
        <v>971.343</v>
      </c>
      <c r="P23" s="8">
        <v>0.1965174</v>
      </c>
      <c r="Q23" s="9">
        <v>160434</v>
      </c>
      <c r="R23" s="9">
        <v>61828</v>
      </c>
      <c r="S23" s="9">
        <v>222262</v>
      </c>
      <c r="T23" s="6">
        <v>971.343</v>
      </c>
      <c r="U23" s="6">
        <v>1190.413</v>
      </c>
      <c r="V23" s="6">
        <v>219.045</v>
      </c>
      <c r="W23" s="6">
        <v>959.706</v>
      </c>
      <c r="X23" s="6">
        <v>11.637</v>
      </c>
      <c r="Y23" s="6">
        <v>84.4096016666667</v>
      </c>
      <c r="Z23" s="10">
        <f t="shared" si="0"/>
        <v>84.4096016666667</v>
      </c>
      <c r="AA23" s="11">
        <f t="shared" si="1"/>
        <v>0</v>
      </c>
      <c r="AB23" s="5" t="s">
        <v>311</v>
      </c>
    </row>
    <row r="24" spans="1:28">
      <c r="A24" s="5">
        <v>2</v>
      </c>
      <c r="B24" s="5" t="s">
        <v>242</v>
      </c>
      <c r="C24" s="5" t="s">
        <v>264</v>
      </c>
      <c r="D24" s="5">
        <v>3</v>
      </c>
      <c r="E24" s="6">
        <v>100</v>
      </c>
      <c r="F24" s="6">
        <v>73.17</v>
      </c>
      <c r="G24" s="6">
        <v>84.51</v>
      </c>
      <c r="H24" s="6">
        <v>95.833</v>
      </c>
      <c r="I24" s="6">
        <v>82.143</v>
      </c>
      <c r="J24" s="6">
        <v>88.462</v>
      </c>
      <c r="K24" s="6">
        <v>95.295125</v>
      </c>
      <c r="L24" s="7">
        <v>0.915569</v>
      </c>
      <c r="M24" s="7">
        <v>0.881403</v>
      </c>
      <c r="N24" s="7">
        <v>0.99631</v>
      </c>
      <c r="O24" s="6">
        <v>1619.695</v>
      </c>
      <c r="P24" s="8">
        <v>0.2841879</v>
      </c>
      <c r="Q24" s="9">
        <v>217645</v>
      </c>
      <c r="R24" s="9">
        <v>91206</v>
      </c>
      <c r="S24" s="9">
        <v>308851</v>
      </c>
      <c r="T24" s="6">
        <v>1619.695</v>
      </c>
      <c r="U24" s="6">
        <v>1901.841</v>
      </c>
      <c r="V24" s="6">
        <v>282.114</v>
      </c>
      <c r="W24" s="6">
        <v>1602.393</v>
      </c>
      <c r="X24" s="6">
        <v>17.302</v>
      </c>
      <c r="Y24" s="6">
        <v>89.422375</v>
      </c>
      <c r="Z24" s="10">
        <f t="shared" si="0"/>
        <v>89.422375</v>
      </c>
      <c r="AA24" s="11">
        <f t="shared" si="1"/>
        <v>0</v>
      </c>
      <c r="AB24" s="5" t="s">
        <v>312</v>
      </c>
    </row>
    <row r="25" spans="1:28">
      <c r="A25" s="5">
        <v>2</v>
      </c>
      <c r="B25" s="5" t="s">
        <v>242</v>
      </c>
      <c r="C25" s="5" t="s">
        <v>264</v>
      </c>
      <c r="D25" s="5">
        <v>4</v>
      </c>
      <c r="E25" s="6">
        <v>100</v>
      </c>
      <c r="F25" s="6">
        <v>86</v>
      </c>
      <c r="G25" s="6">
        <v>92.47</v>
      </c>
      <c r="H25" s="6">
        <v>77.143</v>
      </c>
      <c r="I25" s="6">
        <v>81.818</v>
      </c>
      <c r="J25" s="6">
        <v>79.412</v>
      </c>
      <c r="K25" s="6">
        <v>91.776955</v>
      </c>
      <c r="L25" s="7">
        <v>0.862708</v>
      </c>
      <c r="M25" s="7">
        <v>0.859526</v>
      </c>
      <c r="N25" s="7">
        <v>0.947222</v>
      </c>
      <c r="O25" s="6">
        <v>997.51</v>
      </c>
      <c r="P25" s="8">
        <v>0.3870087</v>
      </c>
      <c r="Q25" s="9">
        <v>295693</v>
      </c>
      <c r="R25" s="9">
        <v>124292</v>
      </c>
      <c r="S25" s="9">
        <v>419985</v>
      </c>
      <c r="T25" s="6">
        <v>997.51</v>
      </c>
      <c r="U25" s="6">
        <v>1243.002</v>
      </c>
      <c r="V25" s="6">
        <v>245.455</v>
      </c>
      <c r="W25" s="6">
        <v>964.252</v>
      </c>
      <c r="X25" s="6">
        <v>33.258</v>
      </c>
      <c r="Y25" s="6">
        <v>87.8863183333333</v>
      </c>
      <c r="Z25" s="10">
        <f t="shared" si="0"/>
        <v>87.8863183333333</v>
      </c>
      <c r="AA25" s="11">
        <f t="shared" si="1"/>
        <v>0</v>
      </c>
      <c r="AB25" s="5" t="s">
        <v>313</v>
      </c>
    </row>
    <row r="26" spans="1:28">
      <c r="A26" s="5">
        <v>2</v>
      </c>
      <c r="B26" s="5" t="s">
        <v>242</v>
      </c>
      <c r="C26" s="5" t="s">
        <v>264</v>
      </c>
      <c r="D26" s="5">
        <v>5</v>
      </c>
      <c r="E26" s="6">
        <v>100</v>
      </c>
      <c r="F26" s="6">
        <v>100</v>
      </c>
      <c r="G26" s="6">
        <v>100</v>
      </c>
      <c r="H26" s="6">
        <v>86.111</v>
      </c>
      <c r="I26" s="6">
        <v>83.784</v>
      </c>
      <c r="J26" s="6">
        <v>84.932</v>
      </c>
      <c r="K26" s="6">
        <v>89.435309</v>
      </c>
      <c r="L26" s="7">
        <v>0.923859</v>
      </c>
      <c r="M26" s="7">
        <v>0.721812</v>
      </c>
      <c r="N26" s="7">
        <v>0.980583</v>
      </c>
      <c r="O26" s="6">
        <v>243.427</v>
      </c>
      <c r="P26" s="8">
        <v>0.1950744</v>
      </c>
      <c r="Q26" s="9">
        <v>169920</v>
      </c>
      <c r="R26" s="9">
        <v>60041</v>
      </c>
      <c r="S26" s="9">
        <v>229961</v>
      </c>
      <c r="T26" s="6">
        <v>243.427</v>
      </c>
      <c r="U26" s="6">
        <v>410.204</v>
      </c>
      <c r="V26" s="6">
        <v>166.749</v>
      </c>
      <c r="W26" s="6">
        <v>231.597</v>
      </c>
      <c r="X26" s="6">
        <v>11.83</v>
      </c>
      <c r="Y26" s="6">
        <v>91.4557696666667</v>
      </c>
      <c r="Z26" s="10">
        <f t="shared" si="0"/>
        <v>91.4557696666667</v>
      </c>
      <c r="AA26" s="11">
        <f t="shared" si="1"/>
        <v>0</v>
      </c>
      <c r="AB26" s="5" t="s">
        <v>314</v>
      </c>
    </row>
    <row r="27" spans="1:28">
      <c r="A27" s="5">
        <v>2</v>
      </c>
      <c r="B27" s="5" t="s">
        <v>242</v>
      </c>
      <c r="C27" s="5" t="s">
        <v>264</v>
      </c>
      <c r="D27" s="5">
        <v>6</v>
      </c>
      <c r="E27" s="6">
        <v>100</v>
      </c>
      <c r="F27" s="6">
        <v>80.95</v>
      </c>
      <c r="G27" s="6">
        <v>89.47</v>
      </c>
      <c r="H27" s="6">
        <v>57.895</v>
      </c>
      <c r="I27" s="6">
        <v>91.667</v>
      </c>
      <c r="J27" s="6">
        <v>70.968</v>
      </c>
      <c r="K27" s="6">
        <v>94.417542</v>
      </c>
      <c r="L27" s="7">
        <v>0.87892</v>
      </c>
      <c r="M27" s="7">
        <v>0.921581</v>
      </c>
      <c r="N27" s="7">
        <v>0.986547</v>
      </c>
      <c r="O27" s="6">
        <v>383.238</v>
      </c>
      <c r="P27" s="8">
        <v>0.2127075</v>
      </c>
      <c r="Q27" s="9">
        <v>176937</v>
      </c>
      <c r="R27" s="9">
        <v>66511</v>
      </c>
      <c r="S27" s="9">
        <v>243448</v>
      </c>
      <c r="T27" s="6">
        <v>383.238</v>
      </c>
      <c r="U27" s="6">
        <v>499.341</v>
      </c>
      <c r="V27" s="6">
        <v>116.077</v>
      </c>
      <c r="W27" s="6">
        <v>364.754</v>
      </c>
      <c r="X27" s="6">
        <v>18.484</v>
      </c>
      <c r="Y27" s="6">
        <v>84.9518473333333</v>
      </c>
      <c r="Z27" s="10">
        <f t="shared" si="0"/>
        <v>84.9518473333333</v>
      </c>
      <c r="AA27" s="11">
        <f t="shared" si="1"/>
        <v>0</v>
      </c>
      <c r="AB27" s="5" t="s">
        <v>315</v>
      </c>
    </row>
    <row r="28" spans="1:28">
      <c r="A28" s="5">
        <v>2</v>
      </c>
      <c r="B28" s="5" t="s">
        <v>242</v>
      </c>
      <c r="C28" s="5" t="s">
        <v>264</v>
      </c>
      <c r="D28" s="5">
        <v>8</v>
      </c>
      <c r="E28" s="6">
        <v>97.33</v>
      </c>
      <c r="F28" s="6">
        <v>85.71</v>
      </c>
      <c r="G28" s="6">
        <v>91.16</v>
      </c>
      <c r="H28" s="6">
        <v>90</v>
      </c>
      <c r="I28" s="6">
        <v>100</v>
      </c>
      <c r="J28" s="6">
        <v>94.737</v>
      </c>
      <c r="K28" s="6">
        <v>92.024696</v>
      </c>
      <c r="L28" s="7">
        <v>0.894324</v>
      </c>
      <c r="M28" s="7">
        <v>0.834789</v>
      </c>
      <c r="N28" s="7">
        <v>0.990566</v>
      </c>
      <c r="O28" s="6">
        <v>300.427</v>
      </c>
      <c r="P28" s="8">
        <v>0.1595592</v>
      </c>
      <c r="Q28" s="9">
        <v>130400</v>
      </c>
      <c r="R28" s="9">
        <v>50183</v>
      </c>
      <c r="S28" s="9">
        <v>180583</v>
      </c>
      <c r="T28" s="6">
        <v>300.427</v>
      </c>
      <c r="U28" s="6">
        <v>402.227</v>
      </c>
      <c r="V28" s="6">
        <v>101.778</v>
      </c>
      <c r="W28" s="6">
        <v>287.117</v>
      </c>
      <c r="X28" s="6">
        <v>13.31</v>
      </c>
      <c r="Y28" s="6">
        <v>92.6405653333333</v>
      </c>
      <c r="Z28" s="10">
        <f t="shared" si="0"/>
        <v>92.6405653333333</v>
      </c>
      <c r="AA28" s="11">
        <f t="shared" si="1"/>
        <v>0</v>
      </c>
      <c r="AB28" s="5" t="s">
        <v>316</v>
      </c>
    </row>
    <row r="29" spans="1:28">
      <c r="A29" s="5">
        <v>2</v>
      </c>
      <c r="B29" s="5" t="s">
        <v>242</v>
      </c>
      <c r="C29" s="5" t="s">
        <v>264</v>
      </c>
      <c r="D29" s="5">
        <v>9</v>
      </c>
      <c r="E29" s="6">
        <v>100</v>
      </c>
      <c r="F29" s="6">
        <v>85.29</v>
      </c>
      <c r="G29" s="6">
        <v>92.06</v>
      </c>
      <c r="H29" s="6">
        <v>90.909</v>
      </c>
      <c r="I29" s="6">
        <v>66.667</v>
      </c>
      <c r="J29" s="6">
        <v>76.923</v>
      </c>
      <c r="K29" s="6">
        <v>85.519578</v>
      </c>
      <c r="L29" s="7">
        <v>0.928945</v>
      </c>
      <c r="M29" s="7">
        <v>0.752297</v>
      </c>
      <c r="N29" s="7">
        <v>0.858871</v>
      </c>
      <c r="O29" s="6">
        <v>499.149</v>
      </c>
      <c r="P29" s="8">
        <v>0.3017757</v>
      </c>
      <c r="Q29" s="9">
        <v>260959</v>
      </c>
      <c r="R29" s="9">
        <v>93120</v>
      </c>
      <c r="S29" s="9">
        <v>354079</v>
      </c>
      <c r="T29" s="6">
        <v>499.149</v>
      </c>
      <c r="U29" s="6">
        <v>709.49</v>
      </c>
      <c r="V29" s="6">
        <v>210.309</v>
      </c>
      <c r="W29" s="6">
        <v>480.887</v>
      </c>
      <c r="X29" s="6">
        <v>18.262</v>
      </c>
      <c r="Y29" s="6">
        <v>84.8341926666667</v>
      </c>
      <c r="Z29" s="10">
        <f t="shared" si="0"/>
        <v>84.8341926666667</v>
      </c>
      <c r="AA29" s="11">
        <f t="shared" si="1"/>
        <v>0</v>
      </c>
      <c r="AB29" s="5" t="s">
        <v>317</v>
      </c>
    </row>
    <row r="30" spans="1:28">
      <c r="A30" s="5">
        <v>2</v>
      </c>
      <c r="B30" s="5" t="s">
        <v>242</v>
      </c>
      <c r="C30" s="5" t="s">
        <v>264</v>
      </c>
      <c r="D30" s="5">
        <v>10</v>
      </c>
      <c r="E30" s="6">
        <v>88.89</v>
      </c>
      <c r="F30" s="6">
        <v>72.73</v>
      </c>
      <c r="G30" s="6">
        <v>80</v>
      </c>
      <c r="H30" s="6">
        <v>85.714</v>
      </c>
      <c r="I30" s="6">
        <v>85.714</v>
      </c>
      <c r="J30" s="6">
        <v>85.714</v>
      </c>
      <c r="K30" s="6">
        <v>92.823184</v>
      </c>
      <c r="L30" s="7">
        <v>0.953949</v>
      </c>
      <c r="M30" s="7">
        <v>0.929796</v>
      </c>
      <c r="N30" s="7">
        <v>0.89441</v>
      </c>
      <c r="O30" s="6">
        <v>437.748</v>
      </c>
      <c r="P30" s="8">
        <v>0.2301879</v>
      </c>
      <c r="Q30" s="9">
        <v>234773</v>
      </c>
      <c r="R30" s="9">
        <v>66565</v>
      </c>
      <c r="S30" s="9">
        <v>301338</v>
      </c>
      <c r="T30" s="6">
        <v>437.748</v>
      </c>
      <c r="U30" s="6">
        <v>582.1</v>
      </c>
      <c r="V30" s="6">
        <v>144.323</v>
      </c>
      <c r="W30" s="6">
        <v>423.329</v>
      </c>
      <c r="X30" s="6">
        <v>14.419</v>
      </c>
      <c r="Y30" s="6">
        <v>86.1790613333333</v>
      </c>
      <c r="Z30" s="10">
        <f t="shared" si="0"/>
        <v>86.1790613333333</v>
      </c>
      <c r="AA30" s="11">
        <f t="shared" si="1"/>
        <v>0</v>
      </c>
      <c r="AB30" s="5" t="s">
        <v>318</v>
      </c>
    </row>
    <row r="31" spans="1:28">
      <c r="A31" s="5">
        <v>2</v>
      </c>
      <c r="B31" s="5" t="s">
        <v>242</v>
      </c>
      <c r="C31" s="5" t="s">
        <v>264</v>
      </c>
      <c r="D31" s="5">
        <v>12</v>
      </c>
      <c r="E31" s="6">
        <v>95.71</v>
      </c>
      <c r="F31" s="6">
        <v>79.57</v>
      </c>
      <c r="G31" s="6">
        <v>86.9</v>
      </c>
      <c r="H31" s="6">
        <v>78.378</v>
      </c>
      <c r="I31" s="6">
        <v>85.294</v>
      </c>
      <c r="J31" s="6">
        <v>81.69</v>
      </c>
      <c r="K31" s="6">
        <v>93.907387</v>
      </c>
      <c r="L31" s="7">
        <v>0.92799</v>
      </c>
      <c r="M31" s="7">
        <v>0.940366</v>
      </c>
      <c r="N31" s="7">
        <v>0.907563</v>
      </c>
      <c r="O31" s="6">
        <v>212.536</v>
      </c>
      <c r="P31" s="8">
        <v>0.2377023</v>
      </c>
      <c r="Q31" s="9">
        <v>208981</v>
      </c>
      <c r="R31" s="9">
        <v>72920</v>
      </c>
      <c r="S31" s="9">
        <v>281901</v>
      </c>
      <c r="T31" s="6">
        <v>212.536</v>
      </c>
      <c r="U31" s="6">
        <v>340.679</v>
      </c>
      <c r="V31" s="6">
        <v>195.069</v>
      </c>
      <c r="W31" s="6">
        <v>128.113</v>
      </c>
      <c r="X31" s="6">
        <v>17.467</v>
      </c>
      <c r="Y31" s="6">
        <v>87.499129</v>
      </c>
      <c r="Z31" s="10">
        <f t="shared" si="0"/>
        <v>87.499129</v>
      </c>
      <c r="AA31" s="11">
        <f t="shared" si="1"/>
        <v>0</v>
      </c>
      <c r="AB31" s="5" t="s">
        <v>319</v>
      </c>
    </row>
    <row r="32" spans="1:28">
      <c r="A32" s="5">
        <v>2</v>
      </c>
      <c r="B32" s="5" t="s">
        <v>242</v>
      </c>
      <c r="C32" s="5" t="s">
        <v>264</v>
      </c>
      <c r="D32" s="5">
        <v>20</v>
      </c>
      <c r="E32" s="6">
        <v>100</v>
      </c>
      <c r="F32" s="6">
        <v>86.29</v>
      </c>
      <c r="G32" s="6">
        <v>92.64</v>
      </c>
      <c r="H32" s="6">
        <v>74.074</v>
      </c>
      <c r="I32" s="6">
        <v>64.516</v>
      </c>
      <c r="J32" s="6">
        <v>68.966</v>
      </c>
      <c r="K32" s="6">
        <v>90.206876</v>
      </c>
      <c r="L32" s="7">
        <v>0.965849</v>
      </c>
      <c r="M32" s="7">
        <v>0.886269</v>
      </c>
      <c r="N32" s="7">
        <v>0.848341</v>
      </c>
      <c r="O32" s="6">
        <v>309.335</v>
      </c>
      <c r="P32" s="8">
        <v>0.2533302</v>
      </c>
      <c r="Q32" s="9">
        <v>202946</v>
      </c>
      <c r="R32" s="9">
        <v>80186</v>
      </c>
      <c r="S32" s="9">
        <v>283132</v>
      </c>
      <c r="T32" s="6">
        <v>309.335</v>
      </c>
      <c r="U32" s="6">
        <v>449.043</v>
      </c>
      <c r="V32" s="6">
        <v>139.677</v>
      </c>
      <c r="W32" s="6">
        <v>285.025</v>
      </c>
      <c r="X32" s="6">
        <v>24.31</v>
      </c>
      <c r="Y32" s="6">
        <v>83.9376253333333</v>
      </c>
      <c r="Z32" s="10">
        <f t="shared" si="0"/>
        <v>83.9376253333333</v>
      </c>
      <c r="AA32" s="11">
        <f t="shared" si="1"/>
        <v>0</v>
      </c>
      <c r="AB32" s="5" t="s">
        <v>320</v>
      </c>
    </row>
    <row r="33" spans="1:28">
      <c r="A33" s="5">
        <v>2</v>
      </c>
      <c r="B33" s="5" t="s">
        <v>242</v>
      </c>
      <c r="C33" s="5" t="s">
        <v>264</v>
      </c>
      <c r="D33" s="5">
        <v>22</v>
      </c>
      <c r="E33" s="6">
        <v>100</v>
      </c>
      <c r="F33" s="6">
        <v>83.05</v>
      </c>
      <c r="G33" s="6">
        <v>90.74</v>
      </c>
      <c r="H33" s="6">
        <v>78.571</v>
      </c>
      <c r="I33" s="6">
        <v>84.615</v>
      </c>
      <c r="J33" s="6">
        <v>81.481</v>
      </c>
      <c r="K33" s="6">
        <v>91.042005</v>
      </c>
      <c r="L33" s="7">
        <v>0.92091</v>
      </c>
      <c r="M33" s="7">
        <v>0.950352</v>
      </c>
      <c r="N33" s="7">
        <v>0.835749</v>
      </c>
      <c r="O33" s="6">
        <v>151.322</v>
      </c>
      <c r="P33" s="8">
        <v>0.1715532</v>
      </c>
      <c r="Q33" s="9">
        <v>169116</v>
      </c>
      <c r="R33" s="9">
        <v>50341</v>
      </c>
      <c r="S33" s="9">
        <v>219457</v>
      </c>
      <c r="T33" s="6">
        <v>151.322</v>
      </c>
      <c r="U33" s="6">
        <v>268.846</v>
      </c>
      <c r="V33" s="6">
        <v>117.496</v>
      </c>
      <c r="W33" s="6">
        <v>137.413</v>
      </c>
      <c r="X33" s="6">
        <v>13.909</v>
      </c>
      <c r="Y33" s="6">
        <v>87.754335</v>
      </c>
      <c r="Z33" s="10">
        <f t="shared" si="0"/>
        <v>87.754335</v>
      </c>
      <c r="AA33" s="11">
        <f t="shared" si="1"/>
        <v>0</v>
      </c>
      <c r="AB33" s="5" t="s">
        <v>321</v>
      </c>
    </row>
    <row r="34" spans="1:28">
      <c r="A34" s="5">
        <v>2</v>
      </c>
      <c r="B34" s="5" t="s">
        <v>242</v>
      </c>
      <c r="C34" s="5" t="s">
        <v>264</v>
      </c>
      <c r="D34" s="5">
        <v>24</v>
      </c>
      <c r="E34" s="6">
        <v>100</v>
      </c>
      <c r="F34" s="6">
        <v>83.78</v>
      </c>
      <c r="G34" s="6">
        <v>91.18</v>
      </c>
      <c r="H34" s="6">
        <v>57.143</v>
      </c>
      <c r="I34" s="6">
        <v>32</v>
      </c>
      <c r="J34" s="6">
        <v>41.026</v>
      </c>
      <c r="K34" s="6">
        <v>95.304505</v>
      </c>
      <c r="L34" s="7">
        <v>0.953405</v>
      </c>
      <c r="M34" s="7">
        <v>0.867687</v>
      </c>
      <c r="N34" s="7">
        <v>0.996805</v>
      </c>
      <c r="O34" s="6">
        <v>228.599</v>
      </c>
      <c r="P34" s="8">
        <v>0.2062455</v>
      </c>
      <c r="Q34" s="9">
        <v>239701</v>
      </c>
      <c r="R34" s="9">
        <v>55973</v>
      </c>
      <c r="S34" s="9">
        <v>295674</v>
      </c>
      <c r="T34" s="6">
        <v>228.599</v>
      </c>
      <c r="U34" s="6">
        <v>311.401</v>
      </c>
      <c r="V34" s="6">
        <v>82.776</v>
      </c>
      <c r="W34" s="6">
        <v>207.239</v>
      </c>
      <c r="X34" s="6">
        <v>21.36</v>
      </c>
      <c r="Y34" s="6">
        <v>75.836835</v>
      </c>
      <c r="Z34" s="10">
        <f t="shared" si="0"/>
        <v>75.836835</v>
      </c>
      <c r="AA34" s="11">
        <f t="shared" si="1"/>
        <v>0</v>
      </c>
      <c r="AB34" s="5" t="s">
        <v>322</v>
      </c>
    </row>
    <row r="35" spans="1:28">
      <c r="A35" s="5">
        <v>2</v>
      </c>
      <c r="B35" s="5" t="s">
        <v>242</v>
      </c>
      <c r="C35" s="5" t="s">
        <v>264</v>
      </c>
      <c r="D35" s="5">
        <v>26</v>
      </c>
      <c r="E35" s="6">
        <v>100</v>
      </c>
      <c r="F35" s="6">
        <v>91.09</v>
      </c>
      <c r="G35" s="6">
        <v>95.34</v>
      </c>
      <c r="H35" s="6">
        <v>80.769</v>
      </c>
      <c r="I35" s="6">
        <v>84</v>
      </c>
      <c r="J35" s="6">
        <v>82.353</v>
      </c>
      <c r="K35" s="6">
        <v>79.090324</v>
      </c>
      <c r="L35" s="7">
        <v>0.951829</v>
      </c>
      <c r="M35" s="7">
        <v>0.733577</v>
      </c>
      <c r="N35" s="7">
        <v>0.696594</v>
      </c>
      <c r="O35" s="6">
        <v>286.53</v>
      </c>
      <c r="P35" s="8">
        <v>0.1712439</v>
      </c>
      <c r="Q35" s="9">
        <v>172589</v>
      </c>
      <c r="R35" s="9">
        <v>49778</v>
      </c>
      <c r="S35" s="9">
        <v>222367</v>
      </c>
      <c r="T35" s="6">
        <v>286.53</v>
      </c>
      <c r="U35" s="6">
        <v>349.451</v>
      </c>
      <c r="V35" s="6">
        <v>62.896</v>
      </c>
      <c r="W35" s="6">
        <v>264.144</v>
      </c>
      <c r="X35" s="6">
        <v>22.386</v>
      </c>
      <c r="Y35" s="6">
        <v>85.5944413333333</v>
      </c>
      <c r="Z35" s="10">
        <f t="shared" si="0"/>
        <v>85.5944413333333</v>
      </c>
      <c r="AA35" s="11">
        <f t="shared" si="1"/>
        <v>0</v>
      </c>
      <c r="AB35" s="5" t="s">
        <v>323</v>
      </c>
    </row>
    <row r="36" spans="1:28">
      <c r="A36" s="5">
        <v>2</v>
      </c>
      <c r="B36" s="5" t="s">
        <v>242</v>
      </c>
      <c r="C36" s="5" t="s">
        <v>264</v>
      </c>
      <c r="D36" s="5">
        <v>29</v>
      </c>
      <c r="E36" s="6">
        <v>100</v>
      </c>
      <c r="F36" s="6">
        <v>74.65</v>
      </c>
      <c r="G36" s="6">
        <v>85.48</v>
      </c>
      <c r="H36" s="6">
        <v>95.238</v>
      </c>
      <c r="I36" s="6">
        <v>83.333</v>
      </c>
      <c r="J36" s="6">
        <v>88.889</v>
      </c>
      <c r="K36" s="6">
        <v>89.431143</v>
      </c>
      <c r="L36" s="7">
        <v>0.905652</v>
      </c>
      <c r="M36" s="7">
        <v>0.735831</v>
      </c>
      <c r="N36" s="7">
        <v>0.9967</v>
      </c>
      <c r="O36" s="6">
        <v>234.552</v>
      </c>
      <c r="P36" s="8">
        <v>0.1777164</v>
      </c>
      <c r="Q36" s="9">
        <v>195908</v>
      </c>
      <c r="R36" s="9">
        <v>49560</v>
      </c>
      <c r="S36" s="9">
        <v>245468</v>
      </c>
      <c r="T36" s="6">
        <v>234.552</v>
      </c>
      <c r="U36" s="6">
        <v>310.825</v>
      </c>
      <c r="V36" s="6">
        <v>76.248</v>
      </c>
      <c r="W36" s="6">
        <v>214.925</v>
      </c>
      <c r="X36" s="6">
        <v>19.627</v>
      </c>
      <c r="Y36" s="6">
        <v>87.933381</v>
      </c>
      <c r="Z36" s="10">
        <f t="shared" si="0"/>
        <v>87.933381</v>
      </c>
      <c r="AA36" s="11">
        <f t="shared" si="1"/>
        <v>0</v>
      </c>
      <c r="AB36" s="5" t="s">
        <v>324</v>
      </c>
    </row>
    <row r="37" spans="1:28">
      <c r="A37" s="5">
        <v>2</v>
      </c>
      <c r="B37" s="5" t="s">
        <v>242</v>
      </c>
      <c r="C37" s="5" t="s">
        <v>264</v>
      </c>
      <c r="D37" s="5">
        <v>44</v>
      </c>
      <c r="E37" s="6">
        <v>100</v>
      </c>
      <c r="F37" s="6">
        <v>79.89</v>
      </c>
      <c r="G37" s="6">
        <v>88.82</v>
      </c>
      <c r="H37" s="6">
        <v>76.562</v>
      </c>
      <c r="I37" s="6">
        <v>92.453</v>
      </c>
      <c r="J37" s="6">
        <v>83.761</v>
      </c>
      <c r="K37" s="6">
        <v>93.412724</v>
      </c>
      <c r="L37" s="7">
        <v>0.882345</v>
      </c>
      <c r="M37" s="7">
        <v>0.886496</v>
      </c>
      <c r="N37" s="7">
        <v>0.990215</v>
      </c>
      <c r="O37" s="6">
        <v>315.338</v>
      </c>
      <c r="P37" s="8">
        <v>0.2949912</v>
      </c>
      <c r="Q37" s="9">
        <v>205728</v>
      </c>
      <c r="R37" s="9">
        <v>97197</v>
      </c>
      <c r="S37" s="9">
        <v>302925</v>
      </c>
      <c r="T37" s="6">
        <v>315.338</v>
      </c>
      <c r="U37" s="6">
        <v>521.06</v>
      </c>
      <c r="V37" s="6">
        <v>205.687</v>
      </c>
      <c r="W37" s="6">
        <v>291.36</v>
      </c>
      <c r="X37" s="6">
        <v>23.978</v>
      </c>
      <c r="Y37" s="6">
        <v>88.6645746666667</v>
      </c>
      <c r="Z37" s="10">
        <f t="shared" si="0"/>
        <v>88.6645746666667</v>
      </c>
      <c r="AA37" s="11">
        <f t="shared" si="1"/>
        <v>0</v>
      </c>
      <c r="AB37" s="5" t="s">
        <v>325</v>
      </c>
    </row>
    <row r="38" spans="1:28">
      <c r="A38" s="5">
        <v>2</v>
      </c>
      <c r="B38" s="5" t="s">
        <v>242</v>
      </c>
      <c r="C38" s="5" t="s">
        <v>264</v>
      </c>
      <c r="D38" s="5">
        <v>52</v>
      </c>
      <c r="E38" s="6">
        <v>96.92</v>
      </c>
      <c r="F38" s="6">
        <v>83.33</v>
      </c>
      <c r="G38" s="6">
        <v>89.62</v>
      </c>
      <c r="H38" s="6">
        <v>77.778</v>
      </c>
      <c r="I38" s="6">
        <v>87.5</v>
      </c>
      <c r="J38" s="6">
        <v>82.353</v>
      </c>
      <c r="K38" s="6">
        <v>94.309947</v>
      </c>
      <c r="L38" s="7">
        <v>0.901274</v>
      </c>
      <c r="M38" s="7">
        <v>0.850892</v>
      </c>
      <c r="N38" s="7">
        <v>0.993311</v>
      </c>
      <c r="O38" s="6">
        <v>205.514</v>
      </c>
      <c r="P38" s="8">
        <v>0.1765803</v>
      </c>
      <c r="Q38" s="9">
        <v>181985</v>
      </c>
      <c r="R38" s="9">
        <v>50827</v>
      </c>
      <c r="S38" s="9">
        <v>232812</v>
      </c>
      <c r="T38" s="6">
        <v>205.514</v>
      </c>
      <c r="U38" s="6">
        <v>306.313</v>
      </c>
      <c r="V38" s="6">
        <v>100.77</v>
      </c>
      <c r="W38" s="6">
        <v>189.637</v>
      </c>
      <c r="X38" s="6">
        <v>15.877</v>
      </c>
      <c r="Y38" s="6">
        <v>88.7609823333333</v>
      </c>
      <c r="Z38" s="10">
        <f t="shared" si="0"/>
        <v>88.7609823333333</v>
      </c>
      <c r="AA38" s="11">
        <f t="shared" si="1"/>
        <v>0</v>
      </c>
      <c r="AB38" s="5" t="s">
        <v>326</v>
      </c>
    </row>
    <row r="39" spans="1:28">
      <c r="A39" s="5">
        <v>2</v>
      </c>
      <c r="B39" s="5" t="s">
        <v>242</v>
      </c>
      <c r="C39" s="5" t="s">
        <v>264</v>
      </c>
      <c r="D39" s="5">
        <v>53</v>
      </c>
      <c r="E39" s="6">
        <v>98.18</v>
      </c>
      <c r="F39" s="6">
        <v>88.71</v>
      </c>
      <c r="G39" s="6">
        <v>93.21</v>
      </c>
      <c r="H39" s="6">
        <v>87.879</v>
      </c>
      <c r="I39" s="6">
        <v>93.548</v>
      </c>
      <c r="J39" s="6">
        <v>90.625</v>
      </c>
      <c r="K39" s="6">
        <v>95.530544</v>
      </c>
      <c r="L39" s="7">
        <v>0.945924</v>
      </c>
      <c r="M39" s="7">
        <v>0.89996</v>
      </c>
      <c r="N39" s="7">
        <v>0.96875</v>
      </c>
      <c r="O39" s="6">
        <v>213.822</v>
      </c>
      <c r="P39" s="8">
        <v>0.1598118</v>
      </c>
      <c r="Q39" s="9">
        <v>170914</v>
      </c>
      <c r="R39" s="9">
        <v>45224</v>
      </c>
      <c r="S39" s="9">
        <v>216138</v>
      </c>
      <c r="T39" s="6">
        <v>213.822</v>
      </c>
      <c r="U39" s="6">
        <v>300.967</v>
      </c>
      <c r="V39" s="6">
        <v>87.126</v>
      </c>
      <c r="W39" s="6">
        <v>196.143</v>
      </c>
      <c r="X39" s="6">
        <v>17.679</v>
      </c>
      <c r="Y39" s="6">
        <v>93.121848</v>
      </c>
      <c r="Z39" s="10">
        <f t="shared" si="0"/>
        <v>93.121848</v>
      </c>
      <c r="AA39" s="11">
        <f t="shared" si="1"/>
        <v>0</v>
      </c>
      <c r="AB39" s="5" t="s">
        <v>327</v>
      </c>
    </row>
    <row r="40" spans="1:28">
      <c r="A40" s="5">
        <v>2</v>
      </c>
      <c r="B40" s="5" t="s">
        <v>242</v>
      </c>
      <c r="C40" s="5" t="s">
        <v>264</v>
      </c>
      <c r="D40" s="5">
        <v>145</v>
      </c>
      <c r="E40" s="6">
        <v>93.94</v>
      </c>
      <c r="F40" s="6">
        <v>86.84</v>
      </c>
      <c r="G40" s="6">
        <v>90.25</v>
      </c>
      <c r="H40" s="6">
        <v>100</v>
      </c>
      <c r="I40" s="6">
        <v>84.211</v>
      </c>
      <c r="J40" s="6">
        <v>91.429</v>
      </c>
      <c r="K40" s="6">
        <v>94.543504</v>
      </c>
      <c r="L40" s="7">
        <v>0.944889</v>
      </c>
      <c r="M40" s="7">
        <v>0.914952</v>
      </c>
      <c r="N40" s="7">
        <v>0.916185</v>
      </c>
      <c r="O40" s="6">
        <v>241.823</v>
      </c>
      <c r="P40" s="8">
        <v>0.1837812</v>
      </c>
      <c r="Q40" s="9">
        <v>193828</v>
      </c>
      <c r="R40" s="9">
        <v>52347</v>
      </c>
      <c r="S40" s="9">
        <v>246175</v>
      </c>
      <c r="T40" s="6">
        <v>241.823</v>
      </c>
      <c r="U40" s="6">
        <v>431.393</v>
      </c>
      <c r="V40" s="6">
        <v>221.711</v>
      </c>
      <c r="W40" s="6">
        <v>189.541</v>
      </c>
      <c r="X40" s="6">
        <v>20.112</v>
      </c>
      <c r="Y40" s="6">
        <v>92.074168</v>
      </c>
      <c r="Z40" s="10">
        <f t="shared" si="0"/>
        <v>92.074168</v>
      </c>
      <c r="AA40" s="11">
        <f t="shared" si="1"/>
        <v>0</v>
      </c>
      <c r="AB40" s="5" t="s">
        <v>328</v>
      </c>
    </row>
    <row r="41" spans="1:28">
      <c r="A41" s="5">
        <v>2</v>
      </c>
      <c r="B41" s="5" t="s">
        <v>242</v>
      </c>
      <c r="C41" s="5" t="s">
        <v>264</v>
      </c>
      <c r="D41" s="5">
        <v>147</v>
      </c>
      <c r="E41" s="6">
        <v>90.91</v>
      </c>
      <c r="F41" s="6">
        <v>75.86</v>
      </c>
      <c r="G41" s="6">
        <v>82.71</v>
      </c>
      <c r="H41" s="6">
        <v>76.19</v>
      </c>
      <c r="I41" s="6">
        <v>94.118</v>
      </c>
      <c r="J41" s="6">
        <v>84.211</v>
      </c>
      <c r="K41" s="6">
        <v>94.493647</v>
      </c>
      <c r="L41" s="7">
        <v>0.895204</v>
      </c>
      <c r="M41" s="7">
        <v>0.87835</v>
      </c>
      <c r="N41" s="7">
        <v>0.981132</v>
      </c>
      <c r="O41" s="6">
        <v>147.626</v>
      </c>
      <c r="P41" s="8">
        <v>0.1423554</v>
      </c>
      <c r="Q41" s="9">
        <v>127822</v>
      </c>
      <c r="R41" s="9">
        <v>43337</v>
      </c>
      <c r="S41" s="9">
        <v>171159</v>
      </c>
      <c r="T41" s="6">
        <v>147.626</v>
      </c>
      <c r="U41" s="6">
        <v>252.142</v>
      </c>
      <c r="V41" s="6">
        <v>104.495</v>
      </c>
      <c r="W41" s="6">
        <v>134.77</v>
      </c>
      <c r="X41" s="6">
        <v>12.856</v>
      </c>
      <c r="Y41" s="6">
        <v>87.1382156666667</v>
      </c>
      <c r="Z41" s="10">
        <f t="shared" si="0"/>
        <v>87.1382156666667</v>
      </c>
      <c r="AA41" s="11">
        <f t="shared" si="1"/>
        <v>0</v>
      </c>
      <c r="AB41" s="5" t="s">
        <v>329</v>
      </c>
    </row>
    <row r="42" spans="1:28">
      <c r="A42" s="5">
        <v>3</v>
      </c>
      <c r="B42" s="5" t="s">
        <v>243</v>
      </c>
      <c r="C42" s="5" t="s">
        <v>265</v>
      </c>
      <c r="D42" s="5">
        <v>1</v>
      </c>
      <c r="E42" s="6">
        <v>100</v>
      </c>
      <c r="F42" s="6">
        <v>87.04</v>
      </c>
      <c r="G42" s="6">
        <v>93.07</v>
      </c>
      <c r="H42" s="6">
        <v>78.947</v>
      </c>
      <c r="I42" s="6">
        <v>93.75</v>
      </c>
      <c r="J42" s="6">
        <v>85.714</v>
      </c>
      <c r="K42" s="6">
        <v>79.12641</v>
      </c>
      <c r="L42" s="7">
        <v>0.770741</v>
      </c>
      <c r="M42" s="7">
        <v>0.752642</v>
      </c>
      <c r="N42" s="7">
        <v>0.92126</v>
      </c>
      <c r="O42" s="6">
        <v>147.842</v>
      </c>
      <c r="P42" s="8">
        <v>0.12754852</v>
      </c>
      <c r="Q42" s="9">
        <v>120275</v>
      </c>
      <c r="R42" s="9">
        <v>28268</v>
      </c>
      <c r="S42" s="9">
        <v>148543</v>
      </c>
      <c r="T42" s="6">
        <v>147.842</v>
      </c>
      <c r="U42" s="6">
        <v>225.498</v>
      </c>
      <c r="V42" s="6">
        <v>77.623</v>
      </c>
      <c r="W42" s="6">
        <v>116.117</v>
      </c>
      <c r="X42" s="6">
        <v>31.725</v>
      </c>
      <c r="Y42" s="6">
        <v>85.9701366666667</v>
      </c>
      <c r="Z42" s="10">
        <f t="shared" si="0"/>
        <v>85.9701366666667</v>
      </c>
      <c r="AA42" s="11">
        <f t="shared" si="1"/>
        <v>0</v>
      </c>
      <c r="AB42" s="5" t="s">
        <v>330</v>
      </c>
    </row>
    <row r="43" spans="1:28">
      <c r="A43" s="5">
        <v>3</v>
      </c>
      <c r="B43" s="5" t="s">
        <v>243</v>
      </c>
      <c r="C43" s="5" t="s">
        <v>265</v>
      </c>
      <c r="D43" s="5">
        <v>2</v>
      </c>
      <c r="E43" s="6">
        <v>100</v>
      </c>
      <c r="F43" s="6">
        <v>82.93</v>
      </c>
      <c r="G43" s="6">
        <v>90.67</v>
      </c>
      <c r="H43" s="6">
        <v>81.818</v>
      </c>
      <c r="I43" s="6">
        <v>85.714</v>
      </c>
      <c r="J43" s="6">
        <v>83.721</v>
      </c>
      <c r="K43" s="6">
        <v>78.290541</v>
      </c>
      <c r="L43" s="7">
        <v>0.814053</v>
      </c>
      <c r="M43" s="7">
        <v>0.808119</v>
      </c>
      <c r="N43" s="7">
        <v>0.721591</v>
      </c>
      <c r="O43" s="6">
        <v>216.095</v>
      </c>
      <c r="P43" s="8">
        <v>0.16183376</v>
      </c>
      <c r="Q43" s="9">
        <v>172852</v>
      </c>
      <c r="R43" s="9">
        <v>32492</v>
      </c>
      <c r="S43" s="9">
        <v>205344</v>
      </c>
      <c r="T43" s="6">
        <v>216.095</v>
      </c>
      <c r="U43" s="6">
        <v>285.723</v>
      </c>
      <c r="V43" s="6">
        <v>69.596</v>
      </c>
      <c r="W43" s="6">
        <v>190.472</v>
      </c>
      <c r="X43" s="6">
        <v>25.623</v>
      </c>
      <c r="Y43" s="6">
        <v>84.2271803333334</v>
      </c>
      <c r="Z43" s="10">
        <f t="shared" si="0"/>
        <v>84.2271803333334</v>
      </c>
      <c r="AA43" s="11">
        <f t="shared" si="1"/>
        <v>0</v>
      </c>
      <c r="AB43" s="5" t="s">
        <v>331</v>
      </c>
    </row>
    <row r="44" spans="1:28">
      <c r="A44" s="5">
        <v>3</v>
      </c>
      <c r="B44" s="5" t="s">
        <v>243</v>
      </c>
      <c r="C44" s="5" t="s">
        <v>265</v>
      </c>
      <c r="D44" s="5">
        <v>3</v>
      </c>
      <c r="E44" s="6">
        <v>100</v>
      </c>
      <c r="F44" s="6">
        <v>75.61</v>
      </c>
      <c r="G44" s="6">
        <v>86.11</v>
      </c>
      <c r="H44" s="6">
        <v>100</v>
      </c>
      <c r="I44" s="6">
        <v>92.857</v>
      </c>
      <c r="J44" s="6">
        <v>96.296</v>
      </c>
      <c r="K44" s="6">
        <v>79.77881</v>
      </c>
      <c r="L44" s="7">
        <v>0.793337</v>
      </c>
      <c r="M44" s="7">
        <v>0.771407</v>
      </c>
      <c r="N44" s="7">
        <v>0.895735</v>
      </c>
      <c r="O44" s="6">
        <v>283.691</v>
      </c>
      <c r="P44" s="8">
        <v>0.20761268</v>
      </c>
      <c r="Q44" s="9">
        <v>222925</v>
      </c>
      <c r="R44" s="9">
        <v>41487</v>
      </c>
      <c r="S44" s="9">
        <v>264412</v>
      </c>
      <c r="T44" s="6">
        <v>283.691</v>
      </c>
      <c r="U44" s="6">
        <v>367.248</v>
      </c>
      <c r="V44" s="6">
        <v>83.517</v>
      </c>
      <c r="W44" s="6">
        <v>244.907</v>
      </c>
      <c r="X44" s="6">
        <v>38.784</v>
      </c>
      <c r="Y44" s="6">
        <v>87.3949366666667</v>
      </c>
      <c r="Z44" s="10">
        <f t="shared" si="0"/>
        <v>87.3949366666667</v>
      </c>
      <c r="AA44" s="11">
        <f t="shared" si="1"/>
        <v>0</v>
      </c>
      <c r="AB44" s="5" t="s">
        <v>332</v>
      </c>
    </row>
    <row r="45" spans="1:28">
      <c r="A45" s="5">
        <v>3</v>
      </c>
      <c r="B45" s="5" t="s">
        <v>243</v>
      </c>
      <c r="C45" s="5" t="s">
        <v>265</v>
      </c>
      <c r="D45" s="5">
        <v>4</v>
      </c>
      <c r="E45" s="6">
        <v>100</v>
      </c>
      <c r="F45" s="6">
        <v>70</v>
      </c>
      <c r="G45" s="6">
        <v>82.35</v>
      </c>
      <c r="H45" s="6">
        <v>96</v>
      </c>
      <c r="I45" s="6">
        <v>72.727</v>
      </c>
      <c r="J45" s="6">
        <v>82.759</v>
      </c>
      <c r="K45" s="6">
        <v>85.189132</v>
      </c>
      <c r="L45" s="7">
        <v>0.804936</v>
      </c>
      <c r="M45" s="7">
        <v>0.856583</v>
      </c>
      <c r="N45" s="7">
        <v>0.907692</v>
      </c>
      <c r="O45" s="6">
        <v>294.053</v>
      </c>
      <c r="P45" s="8">
        <v>0.23753664</v>
      </c>
      <c r="Q45" s="9">
        <v>275076</v>
      </c>
      <c r="R45" s="9">
        <v>44130</v>
      </c>
      <c r="S45" s="9">
        <v>319206</v>
      </c>
      <c r="T45" s="6">
        <v>294.053</v>
      </c>
      <c r="U45" s="6">
        <v>365.931</v>
      </c>
      <c r="V45" s="6">
        <v>71.842</v>
      </c>
      <c r="W45" s="6">
        <v>255.122</v>
      </c>
      <c r="X45" s="6">
        <v>38.931</v>
      </c>
      <c r="Y45" s="6">
        <v>83.4327106666667</v>
      </c>
      <c r="Z45" s="10">
        <f t="shared" si="0"/>
        <v>83.4327106666667</v>
      </c>
      <c r="AA45" s="11">
        <f t="shared" si="1"/>
        <v>0</v>
      </c>
      <c r="AB45" s="5" t="s">
        <v>333</v>
      </c>
    </row>
    <row r="46" spans="1:28">
      <c r="A46" s="5">
        <v>3</v>
      </c>
      <c r="B46" s="5" t="s">
        <v>243</v>
      </c>
      <c r="C46" s="5" t="s">
        <v>265</v>
      </c>
      <c r="D46" s="5">
        <v>5</v>
      </c>
      <c r="E46" s="6">
        <v>100</v>
      </c>
      <c r="F46" s="6">
        <v>80.95</v>
      </c>
      <c r="G46" s="6">
        <v>89.47</v>
      </c>
      <c r="H46" s="6">
        <v>96.667</v>
      </c>
      <c r="I46" s="6">
        <v>78.378</v>
      </c>
      <c r="J46" s="6">
        <v>86.567</v>
      </c>
      <c r="K46" s="6">
        <v>84.710209</v>
      </c>
      <c r="L46" s="7">
        <v>0.808926</v>
      </c>
      <c r="M46" s="7">
        <v>0.823673</v>
      </c>
      <c r="N46" s="7">
        <v>0.909639</v>
      </c>
      <c r="O46" s="6">
        <v>155.549</v>
      </c>
      <c r="P46" s="8">
        <v>0.154825</v>
      </c>
      <c r="Q46" s="9">
        <v>170495</v>
      </c>
      <c r="R46" s="9">
        <v>30230</v>
      </c>
      <c r="S46" s="9">
        <v>200725</v>
      </c>
      <c r="T46" s="6">
        <v>155.549</v>
      </c>
      <c r="U46" s="6">
        <v>241.557</v>
      </c>
      <c r="V46" s="6">
        <v>85.976</v>
      </c>
      <c r="W46" s="6">
        <v>134.263</v>
      </c>
      <c r="X46" s="6">
        <v>21.286</v>
      </c>
      <c r="Y46" s="6">
        <v>86.9157363333333</v>
      </c>
      <c r="Z46" s="10">
        <f t="shared" si="0"/>
        <v>86.9157363333333</v>
      </c>
      <c r="AA46" s="11">
        <f t="shared" si="1"/>
        <v>0</v>
      </c>
      <c r="AB46" s="5" t="s">
        <v>334</v>
      </c>
    </row>
    <row r="47" spans="1:28">
      <c r="A47" s="5">
        <v>3</v>
      </c>
      <c r="B47" s="5" t="s">
        <v>243</v>
      </c>
      <c r="C47" s="5" t="s">
        <v>265</v>
      </c>
      <c r="D47" s="5">
        <v>6</v>
      </c>
      <c r="E47" s="6">
        <v>100</v>
      </c>
      <c r="F47" s="6">
        <v>74.6</v>
      </c>
      <c r="G47" s="6">
        <v>85.45</v>
      </c>
      <c r="H47" s="6">
        <v>95.455</v>
      </c>
      <c r="I47" s="6">
        <v>87.5</v>
      </c>
      <c r="J47" s="6">
        <v>91.304</v>
      </c>
      <c r="K47" s="6">
        <v>68.76702</v>
      </c>
      <c r="L47" s="7">
        <v>0.710198</v>
      </c>
      <c r="M47" s="7">
        <v>0.585475</v>
      </c>
      <c r="N47" s="7">
        <v>0.90583</v>
      </c>
      <c r="O47" s="6">
        <v>243.372</v>
      </c>
      <c r="P47" s="8">
        <v>0.18748312</v>
      </c>
      <c r="Q47" s="9">
        <v>186548</v>
      </c>
      <c r="R47" s="9">
        <v>39925</v>
      </c>
      <c r="S47" s="9">
        <v>226473</v>
      </c>
      <c r="T47" s="6">
        <v>243.372</v>
      </c>
      <c r="U47" s="6">
        <v>324.164</v>
      </c>
      <c r="V47" s="6">
        <v>80.759</v>
      </c>
      <c r="W47" s="6">
        <v>196.523</v>
      </c>
      <c r="X47" s="6">
        <v>46.849</v>
      </c>
      <c r="Y47" s="6">
        <v>81.84034</v>
      </c>
      <c r="Z47" s="10">
        <f t="shared" si="0"/>
        <v>81.84034</v>
      </c>
      <c r="AA47" s="11">
        <f t="shared" si="1"/>
        <v>0</v>
      </c>
      <c r="AB47" s="5" t="s">
        <v>335</v>
      </c>
    </row>
    <row r="48" spans="1:28">
      <c r="A48" s="5">
        <v>3</v>
      </c>
      <c r="B48" s="5" t="s">
        <v>243</v>
      </c>
      <c r="C48" s="5" t="s">
        <v>265</v>
      </c>
      <c r="D48" s="5">
        <v>8</v>
      </c>
      <c r="E48" s="6">
        <v>100</v>
      </c>
      <c r="F48" s="6">
        <v>85.71</v>
      </c>
      <c r="G48" s="6">
        <v>92.31</v>
      </c>
      <c r="H48" s="6">
        <v>85</v>
      </c>
      <c r="I48" s="6">
        <v>94.444</v>
      </c>
      <c r="J48" s="6">
        <v>89.474</v>
      </c>
      <c r="K48" s="6">
        <v>80.246362</v>
      </c>
      <c r="L48" s="7">
        <v>0.767823</v>
      </c>
      <c r="M48" s="7">
        <v>0.806048</v>
      </c>
      <c r="N48" s="7">
        <v>0.876344</v>
      </c>
      <c r="O48" s="6">
        <v>202.402</v>
      </c>
      <c r="P48" s="8">
        <v>0.1502248</v>
      </c>
      <c r="Q48" s="9">
        <v>148838</v>
      </c>
      <c r="R48" s="9">
        <v>32097</v>
      </c>
      <c r="S48" s="9">
        <v>180935</v>
      </c>
      <c r="T48" s="6">
        <v>202.402</v>
      </c>
      <c r="U48" s="6">
        <v>271.942</v>
      </c>
      <c r="V48" s="6">
        <v>69.508</v>
      </c>
      <c r="W48" s="6">
        <v>173.336</v>
      </c>
      <c r="X48" s="6">
        <v>29.066</v>
      </c>
      <c r="Y48" s="6">
        <v>87.343454</v>
      </c>
      <c r="Z48" s="10">
        <f t="shared" si="0"/>
        <v>87.343454</v>
      </c>
      <c r="AA48" s="11">
        <f t="shared" si="1"/>
        <v>0</v>
      </c>
      <c r="AB48" s="5" t="s">
        <v>336</v>
      </c>
    </row>
    <row r="49" spans="1:28">
      <c r="A49" s="5">
        <v>3</v>
      </c>
      <c r="B49" s="5" t="s">
        <v>243</v>
      </c>
      <c r="C49" s="5" t="s">
        <v>265</v>
      </c>
      <c r="D49" s="5">
        <v>9</v>
      </c>
      <c r="E49" s="6">
        <v>100</v>
      </c>
      <c r="F49" s="6">
        <v>88.24</v>
      </c>
      <c r="G49" s="6">
        <v>93.75</v>
      </c>
      <c r="H49" s="6">
        <v>100</v>
      </c>
      <c r="I49" s="6">
        <v>86.667</v>
      </c>
      <c r="J49" s="6">
        <v>92.857</v>
      </c>
      <c r="K49" s="6">
        <v>79.520732</v>
      </c>
      <c r="L49" s="7">
        <v>0.763432</v>
      </c>
      <c r="M49" s="7">
        <v>0.837601</v>
      </c>
      <c r="N49" s="7">
        <v>0.827957</v>
      </c>
      <c r="O49" s="6">
        <v>305.649</v>
      </c>
      <c r="P49" s="8">
        <v>0.24633004</v>
      </c>
      <c r="Q49" s="9">
        <v>270365</v>
      </c>
      <c r="R49" s="9">
        <v>48246</v>
      </c>
      <c r="S49" s="9">
        <v>318611</v>
      </c>
      <c r="T49" s="6">
        <v>305.649</v>
      </c>
      <c r="U49" s="6">
        <v>388.716</v>
      </c>
      <c r="V49" s="6">
        <v>83.033</v>
      </c>
      <c r="W49" s="6">
        <v>257.258</v>
      </c>
      <c r="X49" s="6">
        <v>48.391</v>
      </c>
      <c r="Y49" s="6">
        <v>88.709244</v>
      </c>
      <c r="Z49" s="10">
        <f t="shared" si="0"/>
        <v>88.709244</v>
      </c>
      <c r="AA49" s="11">
        <f t="shared" si="1"/>
        <v>0</v>
      </c>
      <c r="AB49" s="5" t="s">
        <v>337</v>
      </c>
    </row>
    <row r="50" spans="1:28">
      <c r="A50" s="5">
        <v>3</v>
      </c>
      <c r="B50" s="5" t="s">
        <v>243</v>
      </c>
      <c r="C50" s="5" t="s">
        <v>265</v>
      </c>
      <c r="D50" s="5">
        <v>10</v>
      </c>
      <c r="E50" s="6">
        <v>100</v>
      </c>
      <c r="F50" s="6">
        <v>90.91</v>
      </c>
      <c r="G50" s="6">
        <v>95.24</v>
      </c>
      <c r="H50" s="6">
        <v>85.714</v>
      </c>
      <c r="I50" s="6">
        <v>85.714</v>
      </c>
      <c r="J50" s="6">
        <v>85.714</v>
      </c>
      <c r="K50" s="6">
        <v>86.099286</v>
      </c>
      <c r="L50" s="7">
        <v>0.856667</v>
      </c>
      <c r="M50" s="7">
        <v>0.901279</v>
      </c>
      <c r="N50" s="7">
        <v>0.841837</v>
      </c>
      <c r="O50" s="6">
        <v>232.632</v>
      </c>
      <c r="P50" s="8">
        <v>0.20443852</v>
      </c>
      <c r="Q50" s="9">
        <v>255935</v>
      </c>
      <c r="R50" s="9">
        <v>34783</v>
      </c>
      <c r="S50" s="9">
        <v>290718</v>
      </c>
      <c r="T50" s="6">
        <v>232.632</v>
      </c>
      <c r="U50" s="6">
        <v>306.814</v>
      </c>
      <c r="V50" s="6">
        <v>74.148</v>
      </c>
      <c r="W50" s="6">
        <v>215.757</v>
      </c>
      <c r="X50" s="6">
        <v>16.875</v>
      </c>
      <c r="Y50" s="6">
        <v>89.017762</v>
      </c>
      <c r="Z50" s="10">
        <f t="shared" si="0"/>
        <v>89.017762</v>
      </c>
      <c r="AA50" s="11">
        <f t="shared" si="1"/>
        <v>0</v>
      </c>
      <c r="AB50" s="5" t="s">
        <v>338</v>
      </c>
    </row>
    <row r="51" spans="1:28">
      <c r="A51" s="5">
        <v>3</v>
      </c>
      <c r="B51" s="5" t="s">
        <v>243</v>
      </c>
      <c r="C51" s="5" t="s">
        <v>265</v>
      </c>
      <c r="D51" s="5">
        <v>12</v>
      </c>
      <c r="E51" s="6">
        <v>97.59</v>
      </c>
      <c r="F51" s="6">
        <v>92.47</v>
      </c>
      <c r="G51" s="6">
        <v>94.96</v>
      </c>
      <c r="H51" s="6">
        <v>79.487</v>
      </c>
      <c r="I51" s="6">
        <v>91.176</v>
      </c>
      <c r="J51" s="6">
        <v>84.932</v>
      </c>
      <c r="K51" s="6">
        <v>93.137453</v>
      </c>
      <c r="L51" s="7">
        <v>0.930482</v>
      </c>
      <c r="M51" s="7">
        <v>0.942058</v>
      </c>
      <c r="N51" s="7">
        <v>0.910526</v>
      </c>
      <c r="O51" s="6">
        <v>298.008</v>
      </c>
      <c r="P51" s="8">
        <v>0.33369028</v>
      </c>
      <c r="Q51" s="9">
        <v>200747</v>
      </c>
      <c r="R51" s="9">
        <v>92940</v>
      </c>
      <c r="S51" s="9">
        <v>293687</v>
      </c>
      <c r="T51" s="6">
        <v>298.008</v>
      </c>
      <c r="U51" s="6">
        <v>515.503</v>
      </c>
      <c r="V51" s="6">
        <v>280.686</v>
      </c>
      <c r="W51" s="6">
        <v>217.47</v>
      </c>
      <c r="X51" s="6">
        <v>17.322</v>
      </c>
      <c r="Y51" s="6">
        <v>91.0098176666667</v>
      </c>
      <c r="Z51" s="10">
        <f t="shared" si="0"/>
        <v>91.0098176666667</v>
      </c>
      <c r="AA51" s="11">
        <f t="shared" si="1"/>
        <v>0</v>
      </c>
      <c r="AB51" s="5" t="s">
        <v>339</v>
      </c>
    </row>
    <row r="52" spans="1:28">
      <c r="A52" s="5">
        <v>3</v>
      </c>
      <c r="B52" s="5" t="s">
        <v>243</v>
      </c>
      <c r="C52" s="5" t="s">
        <v>265</v>
      </c>
      <c r="D52" s="5">
        <v>20</v>
      </c>
      <c r="E52" s="6">
        <v>100</v>
      </c>
      <c r="F52" s="6">
        <v>86.29</v>
      </c>
      <c r="G52" s="6">
        <v>92.64</v>
      </c>
      <c r="H52" s="6">
        <v>100</v>
      </c>
      <c r="I52" s="6">
        <v>74.194</v>
      </c>
      <c r="J52" s="6">
        <v>85.185</v>
      </c>
      <c r="K52" s="6">
        <v>87.428522</v>
      </c>
      <c r="L52" s="7">
        <v>0.884131</v>
      </c>
      <c r="M52" s="7">
        <v>0.912301</v>
      </c>
      <c r="N52" s="7">
        <v>0.876761</v>
      </c>
      <c r="O52" s="6">
        <v>572.745</v>
      </c>
      <c r="P52" s="8">
        <v>0.43973644</v>
      </c>
      <c r="Q52" s="9">
        <v>190373</v>
      </c>
      <c r="R52" s="9">
        <v>134838</v>
      </c>
      <c r="S52" s="9">
        <v>325211</v>
      </c>
      <c r="T52" s="6">
        <v>572.745</v>
      </c>
      <c r="U52" s="6">
        <v>674.266</v>
      </c>
      <c r="V52" s="6">
        <v>101.496</v>
      </c>
      <c r="W52" s="6">
        <v>425.923</v>
      </c>
      <c r="X52" s="6">
        <v>146.822</v>
      </c>
      <c r="Y52" s="6">
        <v>88.4178406666667</v>
      </c>
      <c r="Z52" s="10">
        <f t="shared" si="0"/>
        <v>88.4178406666667</v>
      </c>
      <c r="AA52" s="11">
        <f t="shared" si="1"/>
        <v>0</v>
      </c>
      <c r="AB52" s="5" t="s">
        <v>340</v>
      </c>
    </row>
    <row r="53" spans="1:28">
      <c r="A53" s="5">
        <v>3</v>
      </c>
      <c r="B53" s="5" t="s">
        <v>243</v>
      </c>
      <c r="C53" s="5" t="s">
        <v>265</v>
      </c>
      <c r="D53" s="5">
        <v>22</v>
      </c>
      <c r="E53" s="6">
        <v>100</v>
      </c>
      <c r="F53" s="6">
        <v>86.44</v>
      </c>
      <c r="G53" s="6">
        <v>92.73</v>
      </c>
      <c r="H53" s="6">
        <v>85.714</v>
      </c>
      <c r="I53" s="6">
        <v>92.308</v>
      </c>
      <c r="J53" s="6">
        <v>88.889</v>
      </c>
      <c r="K53" s="6">
        <v>81.799885</v>
      </c>
      <c r="L53" s="7">
        <v>0.762455</v>
      </c>
      <c r="M53" s="7">
        <v>0.778223</v>
      </c>
      <c r="N53" s="7">
        <v>0.892617</v>
      </c>
      <c r="O53" s="6">
        <v>280.822</v>
      </c>
      <c r="P53" s="8">
        <v>0.3150994</v>
      </c>
      <c r="Q53" s="9">
        <v>164021</v>
      </c>
      <c r="R53" s="9">
        <v>92019</v>
      </c>
      <c r="S53" s="9">
        <v>256040</v>
      </c>
      <c r="T53" s="6">
        <v>280.822</v>
      </c>
      <c r="U53" s="6">
        <v>504.4</v>
      </c>
      <c r="V53" s="6">
        <v>223.554</v>
      </c>
      <c r="W53" s="6">
        <v>263.597</v>
      </c>
      <c r="X53" s="6">
        <v>17.225</v>
      </c>
      <c r="Y53" s="6">
        <v>87.806295</v>
      </c>
      <c r="Z53" s="10">
        <f t="shared" si="0"/>
        <v>87.806295</v>
      </c>
      <c r="AA53" s="11">
        <f t="shared" si="1"/>
        <v>0</v>
      </c>
      <c r="AB53" s="5" t="s">
        <v>341</v>
      </c>
    </row>
    <row r="54" spans="1:28">
      <c r="A54" s="5">
        <v>3</v>
      </c>
      <c r="B54" s="5" t="s">
        <v>243</v>
      </c>
      <c r="C54" s="5" t="s">
        <v>265</v>
      </c>
      <c r="D54" s="5">
        <v>24</v>
      </c>
      <c r="E54" s="6">
        <v>100</v>
      </c>
      <c r="F54" s="6">
        <v>81.08</v>
      </c>
      <c r="G54" s="6">
        <v>89.55</v>
      </c>
      <c r="H54" s="6">
        <v>60.87</v>
      </c>
      <c r="I54" s="6">
        <v>56</v>
      </c>
      <c r="J54" s="6">
        <v>58.333</v>
      </c>
      <c r="K54" s="6">
        <v>92.655119</v>
      </c>
      <c r="L54" s="7">
        <v>0.869408</v>
      </c>
      <c r="M54" s="7">
        <v>0.829496</v>
      </c>
      <c r="N54" s="7">
        <v>1</v>
      </c>
      <c r="O54" s="6">
        <v>603.97</v>
      </c>
      <c r="P54" s="8">
        <v>0.36817528</v>
      </c>
      <c r="Q54" s="9">
        <v>235142</v>
      </c>
      <c r="R54" s="9">
        <v>100270</v>
      </c>
      <c r="S54" s="9">
        <v>335412</v>
      </c>
      <c r="T54" s="6">
        <v>603.97</v>
      </c>
      <c r="U54" s="6">
        <v>847.408</v>
      </c>
      <c r="V54" s="6">
        <v>243.399</v>
      </c>
      <c r="W54" s="6">
        <v>280.299</v>
      </c>
      <c r="X54" s="6">
        <v>323.671</v>
      </c>
      <c r="Y54" s="6">
        <v>80.179373</v>
      </c>
      <c r="Z54" s="10">
        <f t="shared" si="0"/>
        <v>80.179373</v>
      </c>
      <c r="AA54" s="11">
        <f t="shared" si="1"/>
        <v>0</v>
      </c>
      <c r="AB54" s="5" t="s">
        <v>342</v>
      </c>
    </row>
    <row r="55" spans="1:28">
      <c r="A55" s="5">
        <v>3</v>
      </c>
      <c r="B55" s="5" t="s">
        <v>243</v>
      </c>
      <c r="C55" s="5" t="s">
        <v>265</v>
      </c>
      <c r="D55" s="5">
        <v>26</v>
      </c>
      <c r="E55" s="6">
        <v>100</v>
      </c>
      <c r="F55" s="6">
        <v>91.09</v>
      </c>
      <c r="G55" s="6">
        <v>95.34</v>
      </c>
      <c r="H55" s="6">
        <v>85.714</v>
      </c>
      <c r="I55" s="6">
        <v>96</v>
      </c>
      <c r="J55" s="6">
        <v>90.566</v>
      </c>
      <c r="K55" s="6">
        <v>90.313718</v>
      </c>
      <c r="L55" s="7">
        <v>0.880361</v>
      </c>
      <c r="M55" s="7">
        <v>0.885318</v>
      </c>
      <c r="N55" s="7">
        <v>0.947761</v>
      </c>
      <c r="O55" s="6">
        <v>448.84</v>
      </c>
      <c r="P55" s="8">
        <v>0.36908696</v>
      </c>
      <c r="Q55" s="9">
        <v>184570</v>
      </c>
      <c r="R55" s="9">
        <v>109044</v>
      </c>
      <c r="S55" s="9">
        <v>293614</v>
      </c>
      <c r="T55" s="6">
        <v>448.84</v>
      </c>
      <c r="U55" s="6">
        <v>617.062</v>
      </c>
      <c r="V55" s="6">
        <v>168.196</v>
      </c>
      <c r="W55" s="6">
        <v>421.183</v>
      </c>
      <c r="X55" s="6">
        <v>27.657</v>
      </c>
      <c r="Y55" s="6">
        <v>92.0732393333333</v>
      </c>
      <c r="Z55" s="10">
        <f t="shared" si="0"/>
        <v>92.0732393333333</v>
      </c>
      <c r="AA55" s="11">
        <f t="shared" si="1"/>
        <v>0</v>
      </c>
      <c r="AB55" s="5" t="s">
        <v>343</v>
      </c>
    </row>
    <row r="56" spans="1:28">
      <c r="A56" s="5">
        <v>3</v>
      </c>
      <c r="B56" s="5" t="s">
        <v>243</v>
      </c>
      <c r="C56" s="5" t="s">
        <v>265</v>
      </c>
      <c r="D56" s="5">
        <v>29</v>
      </c>
      <c r="E56" s="6">
        <v>100</v>
      </c>
      <c r="F56" s="6">
        <v>84.51</v>
      </c>
      <c r="G56" s="6">
        <v>91.6</v>
      </c>
      <c r="H56" s="6">
        <v>70.588</v>
      </c>
      <c r="I56" s="6">
        <v>100</v>
      </c>
      <c r="J56" s="6">
        <v>82.759</v>
      </c>
      <c r="K56" s="6">
        <v>93.414272</v>
      </c>
      <c r="L56" s="7">
        <v>0.919739</v>
      </c>
      <c r="M56" s="7">
        <v>0.859641</v>
      </c>
      <c r="N56" s="7">
        <v>0.992366</v>
      </c>
      <c r="O56" s="6">
        <v>1281.159</v>
      </c>
      <c r="P56" s="8">
        <v>0.35840772</v>
      </c>
      <c r="Q56" s="9">
        <v>186843</v>
      </c>
      <c r="R56" s="9">
        <v>104620</v>
      </c>
      <c r="S56" s="9">
        <v>291463</v>
      </c>
      <c r="T56" s="6">
        <v>1281.159</v>
      </c>
      <c r="U56" s="6">
        <v>1502.682</v>
      </c>
      <c r="V56" s="6">
        <v>221.497</v>
      </c>
      <c r="W56" s="6">
        <v>362.98</v>
      </c>
      <c r="X56" s="6">
        <v>918.179</v>
      </c>
      <c r="Y56" s="6">
        <v>89.2577573333333</v>
      </c>
      <c r="Z56" s="10">
        <f t="shared" si="0"/>
        <v>89.2577573333333</v>
      </c>
      <c r="AA56" s="11">
        <f t="shared" si="1"/>
        <v>0</v>
      </c>
      <c r="AB56" s="5" t="s">
        <v>344</v>
      </c>
    </row>
    <row r="57" spans="1:28">
      <c r="A57" s="5">
        <v>3</v>
      </c>
      <c r="B57" s="5" t="s">
        <v>243</v>
      </c>
      <c r="C57" s="5" t="s">
        <v>265</v>
      </c>
      <c r="D57" s="5">
        <v>44</v>
      </c>
      <c r="E57" s="6">
        <v>100</v>
      </c>
      <c r="F57" s="6">
        <v>77.78</v>
      </c>
      <c r="G57" s="6">
        <v>87.5</v>
      </c>
      <c r="H57" s="6">
        <v>85</v>
      </c>
      <c r="I57" s="6">
        <v>64.151</v>
      </c>
      <c r="J57" s="6">
        <v>73.118</v>
      </c>
      <c r="K57" s="6">
        <v>85.106089</v>
      </c>
      <c r="L57" s="7">
        <v>0.872358</v>
      </c>
      <c r="M57" s="7">
        <v>0.80019</v>
      </c>
      <c r="N57" s="7">
        <v>0.914894</v>
      </c>
      <c r="O57" s="6">
        <v>262.332</v>
      </c>
      <c r="P57" s="8">
        <v>0.22169136</v>
      </c>
      <c r="Q57" s="9">
        <v>187434</v>
      </c>
      <c r="R57" s="9">
        <v>52735</v>
      </c>
      <c r="S57" s="9">
        <v>240169</v>
      </c>
      <c r="T57" s="6">
        <v>262.332</v>
      </c>
      <c r="U57" s="6">
        <v>370.004</v>
      </c>
      <c r="V57" s="6">
        <v>107.643</v>
      </c>
      <c r="W57" s="6">
        <v>228.46</v>
      </c>
      <c r="X57" s="6">
        <v>33.872</v>
      </c>
      <c r="Y57" s="6">
        <v>81.9080296666667</v>
      </c>
      <c r="Z57" s="10">
        <f t="shared" si="0"/>
        <v>81.9080296666667</v>
      </c>
      <c r="AA57" s="11">
        <f t="shared" si="1"/>
        <v>0</v>
      </c>
      <c r="AB57" s="5" t="s">
        <v>345</v>
      </c>
    </row>
    <row r="58" spans="1:28">
      <c r="A58" s="5">
        <v>3</v>
      </c>
      <c r="B58" s="5" t="s">
        <v>243</v>
      </c>
      <c r="C58" s="5" t="s">
        <v>265</v>
      </c>
      <c r="D58" s="5">
        <v>52</v>
      </c>
      <c r="E58" s="6">
        <v>98.46</v>
      </c>
      <c r="F58" s="6">
        <v>82.05</v>
      </c>
      <c r="G58" s="6">
        <v>89.51</v>
      </c>
      <c r="H58" s="6">
        <v>85.714</v>
      </c>
      <c r="I58" s="6">
        <v>100</v>
      </c>
      <c r="J58" s="6">
        <v>92.308</v>
      </c>
      <c r="K58" s="6">
        <v>90.777935</v>
      </c>
      <c r="L58" s="7">
        <v>0.869888</v>
      </c>
      <c r="M58" s="7">
        <v>0.869574</v>
      </c>
      <c r="N58" s="7">
        <v>0.975962</v>
      </c>
      <c r="O58" s="6">
        <v>192.071</v>
      </c>
      <c r="P58" s="8">
        <v>0.21855768</v>
      </c>
      <c r="Q58" s="9">
        <v>174018</v>
      </c>
      <c r="R58" s="9">
        <v>53784</v>
      </c>
      <c r="S58" s="9">
        <v>227802</v>
      </c>
      <c r="T58" s="6">
        <v>192.071</v>
      </c>
      <c r="U58" s="6">
        <v>324.829</v>
      </c>
      <c r="V58" s="6">
        <v>132.734</v>
      </c>
      <c r="W58" s="6">
        <v>172.425</v>
      </c>
      <c r="X58" s="6">
        <v>19.646</v>
      </c>
      <c r="Y58" s="6">
        <v>90.8653116666667</v>
      </c>
      <c r="Z58" s="10">
        <f t="shared" si="0"/>
        <v>90.8653116666667</v>
      </c>
      <c r="AA58" s="11">
        <f t="shared" si="1"/>
        <v>0</v>
      </c>
      <c r="AB58" s="5" t="s">
        <v>346</v>
      </c>
    </row>
    <row r="59" spans="1:28">
      <c r="A59" s="5">
        <v>3</v>
      </c>
      <c r="B59" s="5" t="s">
        <v>243</v>
      </c>
      <c r="C59" s="5" t="s">
        <v>265</v>
      </c>
      <c r="D59" s="5">
        <v>53</v>
      </c>
      <c r="E59" s="6">
        <v>100</v>
      </c>
      <c r="F59" s="6">
        <v>88.71</v>
      </c>
      <c r="G59" s="6">
        <v>94.02</v>
      </c>
      <c r="H59" s="6">
        <v>92.308</v>
      </c>
      <c r="I59" s="6">
        <v>77.419</v>
      </c>
      <c r="J59" s="6">
        <v>84.211</v>
      </c>
      <c r="K59" s="6">
        <v>86.11707</v>
      </c>
      <c r="L59" s="7">
        <v>0.794167</v>
      </c>
      <c r="M59" s="7">
        <v>0.841927</v>
      </c>
      <c r="N59" s="7">
        <v>0.957895</v>
      </c>
      <c r="O59" s="6">
        <v>209.292</v>
      </c>
      <c r="P59" s="8">
        <v>0.17724608</v>
      </c>
      <c r="Q59" s="9">
        <v>175348</v>
      </c>
      <c r="R59" s="9">
        <v>37914</v>
      </c>
      <c r="S59" s="9">
        <v>213262</v>
      </c>
      <c r="T59" s="6">
        <v>209.292</v>
      </c>
      <c r="U59" s="6">
        <v>278.41</v>
      </c>
      <c r="V59" s="6">
        <v>69.095</v>
      </c>
      <c r="W59" s="6">
        <v>180.363</v>
      </c>
      <c r="X59" s="6">
        <v>28.929</v>
      </c>
      <c r="Y59" s="6">
        <v>88.1160233333333</v>
      </c>
      <c r="Z59" s="10">
        <f t="shared" si="0"/>
        <v>88.1160233333333</v>
      </c>
      <c r="AA59" s="11">
        <f t="shared" si="1"/>
        <v>0</v>
      </c>
      <c r="AB59" s="5" t="s">
        <v>347</v>
      </c>
    </row>
    <row r="60" spans="1:28">
      <c r="A60" s="5">
        <v>3</v>
      </c>
      <c r="B60" s="5" t="s">
        <v>243</v>
      </c>
      <c r="C60" s="5" t="s">
        <v>265</v>
      </c>
      <c r="D60" s="5">
        <v>145</v>
      </c>
      <c r="E60" s="6">
        <v>96.97</v>
      </c>
      <c r="F60" s="6">
        <v>89.47</v>
      </c>
      <c r="G60" s="6">
        <v>93.07</v>
      </c>
      <c r="H60" s="6">
        <v>94.444</v>
      </c>
      <c r="I60" s="6">
        <v>89.474</v>
      </c>
      <c r="J60" s="6">
        <v>91.892</v>
      </c>
      <c r="K60" s="6">
        <v>83.242099</v>
      </c>
      <c r="L60" s="7">
        <v>0.803712</v>
      </c>
      <c r="M60" s="7">
        <v>0.809928</v>
      </c>
      <c r="N60" s="7">
        <v>0.890909</v>
      </c>
      <c r="O60" s="6">
        <v>262.601</v>
      </c>
      <c r="P60" s="8">
        <v>0.24945316</v>
      </c>
      <c r="Q60" s="9">
        <v>197957</v>
      </c>
      <c r="R60" s="9">
        <v>61497</v>
      </c>
      <c r="S60" s="9">
        <v>259454</v>
      </c>
      <c r="T60" s="6">
        <v>262.601</v>
      </c>
      <c r="U60" s="6">
        <v>362.559</v>
      </c>
      <c r="V60" s="6">
        <v>99.933</v>
      </c>
      <c r="W60" s="6">
        <v>237.905</v>
      </c>
      <c r="X60" s="6">
        <v>24.696</v>
      </c>
      <c r="Y60" s="6">
        <v>89.4013663333333</v>
      </c>
      <c r="Z60" s="10">
        <f t="shared" si="0"/>
        <v>89.4013663333333</v>
      </c>
      <c r="AA60" s="11">
        <f t="shared" si="1"/>
        <v>0</v>
      </c>
      <c r="AB60" s="5" t="s">
        <v>348</v>
      </c>
    </row>
    <row r="61" spans="1:28">
      <c r="A61" s="5">
        <v>3</v>
      </c>
      <c r="B61" s="5" t="s">
        <v>243</v>
      </c>
      <c r="C61" s="5" t="s">
        <v>265</v>
      </c>
      <c r="D61" s="5">
        <v>147</v>
      </c>
      <c r="E61" s="6">
        <v>95.83</v>
      </c>
      <c r="F61" s="6">
        <v>93.1</v>
      </c>
      <c r="G61" s="6">
        <v>94.45</v>
      </c>
      <c r="H61" s="6">
        <v>93.75</v>
      </c>
      <c r="I61" s="6">
        <v>88.235</v>
      </c>
      <c r="J61" s="6">
        <v>90.909</v>
      </c>
      <c r="K61" s="6">
        <v>80.804695</v>
      </c>
      <c r="L61" s="7">
        <v>0.784295</v>
      </c>
      <c r="M61" s="7">
        <v>0.721101</v>
      </c>
      <c r="N61" s="7">
        <v>0.789744</v>
      </c>
      <c r="O61" s="6">
        <v>499.24</v>
      </c>
      <c r="P61" s="8">
        <v>0.17210952</v>
      </c>
      <c r="Q61" s="9">
        <v>124500</v>
      </c>
      <c r="R61" s="9">
        <v>44443</v>
      </c>
      <c r="S61" s="9">
        <v>168943</v>
      </c>
      <c r="T61" s="6">
        <v>499.24</v>
      </c>
      <c r="U61" s="6">
        <v>586.651</v>
      </c>
      <c r="V61" s="6">
        <v>87.387</v>
      </c>
      <c r="W61" s="6">
        <v>178.63</v>
      </c>
      <c r="X61" s="6">
        <v>320.61</v>
      </c>
      <c r="Y61" s="6">
        <v>88.7212316666667</v>
      </c>
      <c r="Z61" s="10">
        <f t="shared" si="0"/>
        <v>88.7212316666667</v>
      </c>
      <c r="AA61" s="11">
        <f t="shared" si="1"/>
        <v>0</v>
      </c>
      <c r="AB61" s="5" t="s">
        <v>349</v>
      </c>
    </row>
    <row r="62" spans="1:28">
      <c r="A62" s="5">
        <v>4</v>
      </c>
      <c r="B62" s="5" t="s">
        <v>244</v>
      </c>
      <c r="C62" s="5" t="s">
        <v>266</v>
      </c>
      <c r="D62" s="5">
        <v>1</v>
      </c>
      <c r="E62" s="6">
        <v>100</v>
      </c>
      <c r="F62" s="6">
        <v>74.07</v>
      </c>
      <c r="G62" s="6">
        <v>85.11</v>
      </c>
      <c r="H62" s="6">
        <v>78.947</v>
      </c>
      <c r="I62" s="6">
        <v>93.75</v>
      </c>
      <c r="J62" s="6">
        <v>85.714</v>
      </c>
      <c r="K62" s="6">
        <v>88.505862</v>
      </c>
      <c r="L62" s="7">
        <v>0.769936</v>
      </c>
      <c r="M62" s="7">
        <v>0.789698</v>
      </c>
      <c r="N62" s="7">
        <v>0.964103</v>
      </c>
      <c r="O62" s="6">
        <v>217.791</v>
      </c>
      <c r="P62" s="8">
        <v>0.0322296</v>
      </c>
      <c r="Q62" s="9">
        <v>92558</v>
      </c>
      <c r="R62" s="9">
        <v>27436</v>
      </c>
      <c r="S62" s="9">
        <v>163057</v>
      </c>
      <c r="T62" s="6">
        <v>217.791</v>
      </c>
      <c r="U62" s="6">
        <v>297.724</v>
      </c>
      <c r="V62" s="6">
        <v>79.903</v>
      </c>
      <c r="W62" s="6">
        <v>202.572</v>
      </c>
      <c r="X62" s="6">
        <v>15.219</v>
      </c>
      <c r="Y62" s="6">
        <v>86.4432873333333</v>
      </c>
      <c r="Z62" s="10">
        <f t="shared" si="0"/>
        <v>86.4432873333333</v>
      </c>
      <c r="AA62" s="11">
        <f t="shared" si="1"/>
        <v>0</v>
      </c>
      <c r="AB62" s="5" t="s">
        <v>350</v>
      </c>
    </row>
    <row r="63" spans="1:28">
      <c r="A63" s="5">
        <v>4</v>
      </c>
      <c r="B63" s="5" t="s">
        <v>244</v>
      </c>
      <c r="C63" s="5" t="s">
        <v>266</v>
      </c>
      <c r="D63" s="5">
        <v>2</v>
      </c>
      <c r="E63" s="6">
        <v>100</v>
      </c>
      <c r="F63" s="6">
        <v>73.17</v>
      </c>
      <c r="G63" s="6">
        <v>84.51</v>
      </c>
      <c r="H63" s="6">
        <v>77.273</v>
      </c>
      <c r="I63" s="6">
        <v>80.952</v>
      </c>
      <c r="J63" s="6">
        <v>79.07</v>
      </c>
      <c r="K63" s="6">
        <v>94.574775</v>
      </c>
      <c r="L63" s="7">
        <v>0.948375</v>
      </c>
      <c r="M63" s="7">
        <v>0.901965</v>
      </c>
      <c r="N63" s="7">
        <v>0.920792</v>
      </c>
      <c r="O63" s="6">
        <v>333.138</v>
      </c>
      <c r="P63" s="8">
        <v>0.0397474</v>
      </c>
      <c r="Q63" s="9">
        <v>128277</v>
      </c>
      <c r="R63" s="9">
        <v>28184</v>
      </c>
      <c r="S63" s="9">
        <v>203787</v>
      </c>
      <c r="T63" s="6">
        <v>333.138</v>
      </c>
      <c r="U63" s="6">
        <v>394.501</v>
      </c>
      <c r="V63" s="6">
        <v>61.33</v>
      </c>
      <c r="W63" s="6">
        <v>313.238</v>
      </c>
      <c r="X63" s="6">
        <v>19.9</v>
      </c>
      <c r="Y63" s="6">
        <v>86.0515916666667</v>
      </c>
      <c r="Z63" s="10">
        <f t="shared" si="0"/>
        <v>86.0515916666667</v>
      </c>
      <c r="AA63" s="11">
        <f t="shared" si="1"/>
        <v>0</v>
      </c>
      <c r="AB63" s="5" t="s">
        <v>351</v>
      </c>
    </row>
    <row r="64" spans="1:28">
      <c r="A64" s="5">
        <v>4</v>
      </c>
      <c r="B64" s="5" t="s">
        <v>244</v>
      </c>
      <c r="C64" s="5" t="s">
        <v>266</v>
      </c>
      <c r="D64" s="5">
        <v>3</v>
      </c>
      <c r="E64" s="6">
        <v>100</v>
      </c>
      <c r="F64" s="6">
        <v>60.98</v>
      </c>
      <c r="G64" s="6">
        <v>75.76</v>
      </c>
      <c r="H64" s="6">
        <v>100</v>
      </c>
      <c r="I64" s="6">
        <v>78.571</v>
      </c>
      <c r="J64" s="6">
        <v>88</v>
      </c>
      <c r="K64" s="6">
        <v>93.968258</v>
      </c>
      <c r="L64" s="7">
        <v>0.898005</v>
      </c>
      <c r="M64" s="7">
        <v>0.904364</v>
      </c>
      <c r="N64" s="7">
        <v>0.979253</v>
      </c>
      <c r="O64" s="6">
        <v>398.034</v>
      </c>
      <c r="P64" s="8">
        <v>0.0479566</v>
      </c>
      <c r="Q64" s="9">
        <v>158553</v>
      </c>
      <c r="R64" s="9">
        <v>32492</v>
      </c>
      <c r="S64" s="9">
        <v>257408</v>
      </c>
      <c r="T64" s="6">
        <v>398.034</v>
      </c>
      <c r="U64" s="6">
        <v>464.844</v>
      </c>
      <c r="V64" s="6">
        <v>66.777</v>
      </c>
      <c r="W64" s="6">
        <v>380.16</v>
      </c>
      <c r="X64" s="6">
        <v>17.874</v>
      </c>
      <c r="Y64" s="6">
        <v>85.9094193333333</v>
      </c>
      <c r="Z64" s="10">
        <f t="shared" si="0"/>
        <v>85.9094193333333</v>
      </c>
      <c r="AA64" s="11">
        <f t="shared" si="1"/>
        <v>0</v>
      </c>
      <c r="AB64" s="5" t="s">
        <v>352</v>
      </c>
    </row>
    <row r="65" spans="1:28">
      <c r="A65" s="5">
        <v>4</v>
      </c>
      <c r="B65" s="5" t="s">
        <v>244</v>
      </c>
      <c r="C65" s="5" t="s">
        <v>266</v>
      </c>
      <c r="D65" s="5">
        <v>4</v>
      </c>
      <c r="E65" s="6">
        <v>100</v>
      </c>
      <c r="F65" s="6">
        <v>66</v>
      </c>
      <c r="G65" s="6">
        <v>79.52</v>
      </c>
      <c r="H65" s="6">
        <v>92.857</v>
      </c>
      <c r="I65" s="6">
        <v>78.788</v>
      </c>
      <c r="J65" s="6">
        <v>85.246</v>
      </c>
      <c r="K65" s="6">
        <v>94.405395</v>
      </c>
      <c r="L65" s="7">
        <v>0.896826</v>
      </c>
      <c r="M65" s="7">
        <v>0.891301</v>
      </c>
      <c r="N65" s="7">
        <v>0.969512</v>
      </c>
      <c r="O65" s="6">
        <v>610.024</v>
      </c>
      <c r="P65" s="8">
        <v>0.0657105</v>
      </c>
      <c r="Q65" s="9">
        <v>227420</v>
      </c>
      <c r="R65" s="9">
        <v>40453</v>
      </c>
      <c r="S65" s="9">
        <v>367772</v>
      </c>
      <c r="T65" s="6">
        <v>610.024</v>
      </c>
      <c r="U65" s="6">
        <v>707.84</v>
      </c>
      <c r="V65" s="6">
        <v>97.778</v>
      </c>
      <c r="W65" s="6">
        <v>586.376</v>
      </c>
      <c r="X65" s="6">
        <v>23.648</v>
      </c>
      <c r="Y65" s="6">
        <v>86.390465</v>
      </c>
      <c r="Z65" s="10">
        <f t="shared" si="0"/>
        <v>86.390465</v>
      </c>
      <c r="AA65" s="11">
        <f t="shared" si="1"/>
        <v>0</v>
      </c>
      <c r="AB65" s="5" t="s">
        <v>353</v>
      </c>
    </row>
    <row r="66" spans="1:28">
      <c r="A66" s="5">
        <v>4</v>
      </c>
      <c r="B66" s="5" t="s">
        <v>244</v>
      </c>
      <c r="C66" s="5" t="s">
        <v>266</v>
      </c>
      <c r="D66" s="5">
        <v>5</v>
      </c>
      <c r="E66" s="6">
        <v>100</v>
      </c>
      <c r="F66" s="6">
        <v>71.43</v>
      </c>
      <c r="G66" s="6">
        <v>83.33</v>
      </c>
      <c r="H66" s="6">
        <v>90.909</v>
      </c>
      <c r="I66" s="6">
        <v>81.081</v>
      </c>
      <c r="J66" s="6">
        <v>85.714</v>
      </c>
      <c r="K66" s="6">
        <v>95.244035</v>
      </c>
      <c r="L66" s="7">
        <v>0.931734</v>
      </c>
      <c r="M66" s="7">
        <v>0.858506</v>
      </c>
      <c r="N66" s="7">
        <v>0.983957</v>
      </c>
      <c r="O66" s="6">
        <v>206.945</v>
      </c>
      <c r="P66" s="8">
        <v>0.0422837</v>
      </c>
      <c r="Q66" s="9">
        <v>141881</v>
      </c>
      <c r="R66" s="9">
        <v>27815</v>
      </c>
      <c r="S66" s="9">
        <v>211035</v>
      </c>
      <c r="T66" s="6">
        <v>206.945</v>
      </c>
      <c r="U66" s="6">
        <v>303.012</v>
      </c>
      <c r="V66" s="6">
        <v>96.035</v>
      </c>
      <c r="W66" s="6">
        <v>196.709</v>
      </c>
      <c r="X66" s="6">
        <v>10.236</v>
      </c>
      <c r="Y66" s="6">
        <v>88.0960116666667</v>
      </c>
      <c r="Z66" s="10">
        <f t="shared" ref="Z66:Z129" si="2">AVERAGE(G66,J66,K66)</f>
        <v>88.0960116666667</v>
      </c>
      <c r="AA66" s="11">
        <f t="shared" ref="AA66:AA129" si="3">Z66-Y66</f>
        <v>0</v>
      </c>
      <c r="AB66" s="5" t="s">
        <v>354</v>
      </c>
    </row>
    <row r="67" spans="1:28">
      <c r="A67" s="5">
        <v>4</v>
      </c>
      <c r="B67" s="5" t="s">
        <v>244</v>
      </c>
      <c r="C67" s="5" t="s">
        <v>266</v>
      </c>
      <c r="D67" s="5">
        <v>6</v>
      </c>
      <c r="E67" s="6">
        <v>100</v>
      </c>
      <c r="F67" s="6">
        <v>80.95</v>
      </c>
      <c r="G67" s="6">
        <v>89.47</v>
      </c>
      <c r="H67" s="6">
        <v>93.75</v>
      </c>
      <c r="I67" s="6">
        <v>62.5</v>
      </c>
      <c r="J67" s="6">
        <v>75</v>
      </c>
      <c r="K67" s="6">
        <v>95.741188</v>
      </c>
      <c r="L67" s="7">
        <v>0.934965</v>
      </c>
      <c r="M67" s="7">
        <v>0.880026</v>
      </c>
      <c r="N67" s="7">
        <v>1</v>
      </c>
      <c r="O67" s="6">
        <v>395.27</v>
      </c>
      <c r="P67" s="8">
        <v>0.0450594</v>
      </c>
      <c r="Q67" s="9">
        <v>143567</v>
      </c>
      <c r="R67" s="9">
        <v>32692</v>
      </c>
      <c r="S67" s="9">
        <v>245584</v>
      </c>
      <c r="T67" s="6">
        <v>395.27</v>
      </c>
      <c r="U67" s="6">
        <v>462.512</v>
      </c>
      <c r="V67" s="6">
        <v>67.209</v>
      </c>
      <c r="W67" s="6">
        <v>385.077</v>
      </c>
      <c r="X67" s="6">
        <v>10.193</v>
      </c>
      <c r="Y67" s="6">
        <v>86.7370626666667</v>
      </c>
      <c r="Z67" s="10">
        <f t="shared" si="2"/>
        <v>86.7370626666667</v>
      </c>
      <c r="AA67" s="11">
        <f t="shared" si="3"/>
        <v>0</v>
      </c>
      <c r="AB67" s="5" t="s">
        <v>355</v>
      </c>
    </row>
    <row r="68" spans="1:28">
      <c r="A68" s="5">
        <v>4</v>
      </c>
      <c r="B68" s="5" t="s">
        <v>244</v>
      </c>
      <c r="C68" s="5" t="s">
        <v>266</v>
      </c>
      <c r="D68" s="5">
        <v>8</v>
      </c>
      <c r="E68" s="6">
        <v>100</v>
      </c>
      <c r="F68" s="6">
        <v>82.42</v>
      </c>
      <c r="G68" s="6">
        <v>90.36</v>
      </c>
      <c r="H68" s="6">
        <v>94.737</v>
      </c>
      <c r="I68" s="6">
        <v>100</v>
      </c>
      <c r="J68" s="6">
        <v>97.297</v>
      </c>
      <c r="K68" s="6">
        <v>88.435239</v>
      </c>
      <c r="L68" s="7">
        <v>0.860546</v>
      </c>
      <c r="M68" s="7">
        <v>0.755062</v>
      </c>
      <c r="N68" s="7">
        <v>1</v>
      </c>
      <c r="O68" s="6">
        <v>260.093</v>
      </c>
      <c r="P68" s="8">
        <v>0.0343899</v>
      </c>
      <c r="Q68" s="9">
        <v>108857</v>
      </c>
      <c r="R68" s="9">
        <v>25237</v>
      </c>
      <c r="S68" s="9">
        <v>177211</v>
      </c>
      <c r="T68" s="6">
        <v>260.093</v>
      </c>
      <c r="U68" s="6">
        <v>325.258</v>
      </c>
      <c r="V68" s="6">
        <v>65.135</v>
      </c>
      <c r="W68" s="6">
        <v>251.721</v>
      </c>
      <c r="X68" s="6">
        <v>8.372</v>
      </c>
      <c r="Y68" s="6">
        <v>92.0307463333333</v>
      </c>
      <c r="Z68" s="10">
        <f t="shared" si="2"/>
        <v>92.0307463333333</v>
      </c>
      <c r="AA68" s="11">
        <f t="shared" si="3"/>
        <v>0</v>
      </c>
      <c r="AB68" s="5" t="s">
        <v>356</v>
      </c>
    </row>
    <row r="69" spans="1:28">
      <c r="A69" s="5">
        <v>4</v>
      </c>
      <c r="B69" s="5" t="s">
        <v>244</v>
      </c>
      <c r="C69" s="5" t="s">
        <v>266</v>
      </c>
      <c r="D69" s="5">
        <v>9</v>
      </c>
      <c r="E69" s="6">
        <v>100</v>
      </c>
      <c r="F69" s="6">
        <v>61.76</v>
      </c>
      <c r="G69" s="6">
        <v>76.36</v>
      </c>
      <c r="H69" s="6">
        <v>94.737</v>
      </c>
      <c r="I69" s="6">
        <v>60</v>
      </c>
      <c r="J69" s="6">
        <v>73.469</v>
      </c>
      <c r="K69" s="6">
        <v>97.702783</v>
      </c>
      <c r="L69" s="7">
        <v>0.966201</v>
      </c>
      <c r="M69" s="7">
        <v>0.935355</v>
      </c>
      <c r="N69" s="7">
        <v>0.99435</v>
      </c>
      <c r="O69" s="6">
        <v>638.037</v>
      </c>
      <c r="P69" s="8">
        <v>0.0613035</v>
      </c>
      <c r="Q69" s="9">
        <v>213080</v>
      </c>
      <c r="R69" s="9">
        <v>37375</v>
      </c>
      <c r="S69" s="9">
        <v>334510</v>
      </c>
      <c r="T69" s="6">
        <v>638.037</v>
      </c>
      <c r="U69" s="6">
        <v>716.62</v>
      </c>
      <c r="V69" s="6">
        <v>78.549</v>
      </c>
      <c r="W69" s="6">
        <v>627.352</v>
      </c>
      <c r="X69" s="6">
        <v>10.685</v>
      </c>
      <c r="Y69" s="6">
        <v>82.5105943333333</v>
      </c>
      <c r="Z69" s="10">
        <f t="shared" si="2"/>
        <v>82.5105943333333</v>
      </c>
      <c r="AA69" s="11">
        <f t="shared" si="3"/>
        <v>0</v>
      </c>
      <c r="AB69" s="5" t="s">
        <v>357</v>
      </c>
    </row>
    <row r="70" spans="1:28">
      <c r="A70" s="5">
        <v>4</v>
      </c>
      <c r="B70" s="5" t="s">
        <v>244</v>
      </c>
      <c r="C70" s="5" t="s">
        <v>266</v>
      </c>
      <c r="D70" s="5">
        <v>10</v>
      </c>
      <c r="E70" s="6">
        <v>100</v>
      </c>
      <c r="F70" s="6">
        <v>63.64</v>
      </c>
      <c r="G70" s="6">
        <v>77.78</v>
      </c>
      <c r="H70" s="6">
        <v>58.333</v>
      </c>
      <c r="I70" s="6">
        <v>100</v>
      </c>
      <c r="J70" s="6">
        <v>73.684</v>
      </c>
      <c r="K70" s="6">
        <v>96.530237</v>
      </c>
      <c r="L70" s="7">
        <v>0.943977</v>
      </c>
      <c r="M70" s="7">
        <v>0.92997</v>
      </c>
      <c r="N70" s="7">
        <v>0.992424</v>
      </c>
      <c r="O70" s="6">
        <v>471.565</v>
      </c>
      <c r="P70" s="8">
        <v>0.0578378</v>
      </c>
      <c r="Q70" s="9">
        <v>201389</v>
      </c>
      <c r="R70" s="9">
        <v>35120</v>
      </c>
      <c r="S70" s="9">
        <v>291428</v>
      </c>
      <c r="T70" s="6">
        <v>471.565</v>
      </c>
      <c r="U70" s="6">
        <v>562.225</v>
      </c>
      <c r="V70" s="6">
        <v>90.624</v>
      </c>
      <c r="W70" s="6">
        <v>461.937</v>
      </c>
      <c r="X70" s="6">
        <v>9.628</v>
      </c>
      <c r="Y70" s="6">
        <v>82.6647456666667</v>
      </c>
      <c r="Z70" s="10">
        <f t="shared" si="2"/>
        <v>82.6647456666667</v>
      </c>
      <c r="AA70" s="11">
        <f t="shared" si="3"/>
        <v>0</v>
      </c>
      <c r="AB70" s="5" t="s">
        <v>358</v>
      </c>
    </row>
    <row r="71" spans="1:28">
      <c r="A71" s="5">
        <v>4</v>
      </c>
      <c r="B71" s="5" t="s">
        <v>244</v>
      </c>
      <c r="C71" s="5" t="s">
        <v>266</v>
      </c>
      <c r="D71" s="5">
        <v>12</v>
      </c>
      <c r="E71" s="6">
        <v>96.55</v>
      </c>
      <c r="F71" s="6">
        <v>64.52</v>
      </c>
      <c r="G71" s="6">
        <v>77.35</v>
      </c>
      <c r="H71" s="6">
        <v>80.769</v>
      </c>
      <c r="I71" s="6">
        <v>61.765</v>
      </c>
      <c r="J71" s="6">
        <v>70</v>
      </c>
      <c r="K71" s="6">
        <v>88.43958</v>
      </c>
      <c r="L71" s="7">
        <v>0.840321</v>
      </c>
      <c r="M71" s="7">
        <v>0.894818</v>
      </c>
      <c r="N71" s="7">
        <v>0.901099</v>
      </c>
      <c r="O71" s="6">
        <v>98.024</v>
      </c>
      <c r="P71" s="8">
        <v>0.0468872</v>
      </c>
      <c r="Q71" s="9">
        <v>167976</v>
      </c>
      <c r="R71" s="9">
        <v>26584</v>
      </c>
      <c r="S71" s="9">
        <v>194560</v>
      </c>
      <c r="T71" s="6">
        <v>98.024</v>
      </c>
      <c r="U71" s="6">
        <v>166.749</v>
      </c>
      <c r="V71" s="6">
        <v>68.699</v>
      </c>
      <c r="W71" s="6">
        <v>82.784</v>
      </c>
      <c r="X71" s="6">
        <v>15.24</v>
      </c>
      <c r="Y71" s="6">
        <v>78.5965266666667</v>
      </c>
      <c r="Z71" s="10">
        <f t="shared" si="2"/>
        <v>78.5965266666667</v>
      </c>
      <c r="AA71" s="11">
        <f t="shared" si="3"/>
        <v>0</v>
      </c>
      <c r="AB71" s="5" t="s">
        <v>359</v>
      </c>
    </row>
    <row r="72" spans="1:28">
      <c r="A72" s="5">
        <v>4</v>
      </c>
      <c r="B72" s="5" t="s">
        <v>244</v>
      </c>
      <c r="C72" s="5" t="s">
        <v>266</v>
      </c>
      <c r="D72" s="5">
        <v>20</v>
      </c>
      <c r="E72" s="6">
        <v>100</v>
      </c>
      <c r="F72" s="6">
        <v>74.19</v>
      </c>
      <c r="G72" s="6">
        <v>85.19</v>
      </c>
      <c r="H72" s="6">
        <v>95</v>
      </c>
      <c r="I72" s="6">
        <v>61.29</v>
      </c>
      <c r="J72" s="6">
        <v>74.51</v>
      </c>
      <c r="K72" s="6">
        <v>94.841549</v>
      </c>
      <c r="L72" s="7">
        <v>0.963522</v>
      </c>
      <c r="M72" s="7">
        <v>0.927716</v>
      </c>
      <c r="N72" s="7">
        <v>0.91129</v>
      </c>
      <c r="O72" s="6">
        <v>212.495</v>
      </c>
      <c r="P72" s="8">
        <v>0.0554098</v>
      </c>
      <c r="Q72" s="9">
        <v>174169</v>
      </c>
      <c r="R72" s="9">
        <v>41152</v>
      </c>
      <c r="S72" s="9">
        <v>215321</v>
      </c>
      <c r="T72" s="6">
        <v>212.495</v>
      </c>
      <c r="U72" s="6">
        <v>271.369</v>
      </c>
      <c r="V72" s="6">
        <v>58.845</v>
      </c>
      <c r="W72" s="6">
        <v>181.119</v>
      </c>
      <c r="X72" s="6">
        <v>31.376</v>
      </c>
      <c r="Y72" s="6">
        <v>84.847183</v>
      </c>
      <c r="Z72" s="10">
        <f t="shared" si="2"/>
        <v>84.847183</v>
      </c>
      <c r="AA72" s="11">
        <f t="shared" si="3"/>
        <v>0</v>
      </c>
      <c r="AB72" s="5" t="s">
        <v>360</v>
      </c>
    </row>
    <row r="73" spans="1:28">
      <c r="A73" s="5">
        <v>4</v>
      </c>
      <c r="B73" s="5" t="s">
        <v>244</v>
      </c>
      <c r="C73" s="5" t="s">
        <v>266</v>
      </c>
      <c r="D73" s="5">
        <v>22</v>
      </c>
      <c r="E73" s="6">
        <v>100</v>
      </c>
      <c r="F73" s="6">
        <v>84.75</v>
      </c>
      <c r="G73" s="6">
        <v>91.74</v>
      </c>
      <c r="H73" s="6">
        <v>73.333</v>
      </c>
      <c r="I73" s="6">
        <v>84.615</v>
      </c>
      <c r="J73" s="6">
        <v>78.571</v>
      </c>
      <c r="K73" s="6">
        <v>96.148849</v>
      </c>
      <c r="L73" s="7">
        <v>0.967381</v>
      </c>
      <c r="M73" s="7">
        <v>0.930944</v>
      </c>
      <c r="N73" s="7">
        <v>0.938776</v>
      </c>
      <c r="O73" s="6">
        <v>114.61</v>
      </c>
      <c r="P73" s="8">
        <v>0.0411607</v>
      </c>
      <c r="Q73" s="9">
        <v>143901</v>
      </c>
      <c r="R73" s="9">
        <v>24761</v>
      </c>
      <c r="S73" s="9">
        <v>168662</v>
      </c>
      <c r="T73" s="6">
        <v>114.61</v>
      </c>
      <c r="U73" s="6">
        <v>169.6</v>
      </c>
      <c r="V73" s="6">
        <v>54.969</v>
      </c>
      <c r="W73" s="6">
        <v>102.557</v>
      </c>
      <c r="X73" s="6">
        <v>12.053</v>
      </c>
      <c r="Y73" s="6">
        <v>88.8199496666667</v>
      </c>
      <c r="Z73" s="10">
        <f t="shared" si="2"/>
        <v>88.8199496666667</v>
      </c>
      <c r="AA73" s="11">
        <f t="shared" si="3"/>
        <v>0</v>
      </c>
      <c r="AB73" s="5" t="s">
        <v>361</v>
      </c>
    </row>
    <row r="74" spans="1:28">
      <c r="A74" s="5">
        <v>4</v>
      </c>
      <c r="B74" s="5" t="s">
        <v>244</v>
      </c>
      <c r="C74" s="5" t="s">
        <v>266</v>
      </c>
      <c r="D74" s="5">
        <v>24</v>
      </c>
      <c r="E74" s="6">
        <v>100</v>
      </c>
      <c r="F74" s="6">
        <v>81.08</v>
      </c>
      <c r="G74" s="6">
        <v>89.55</v>
      </c>
      <c r="H74" s="6">
        <v>88.889</v>
      </c>
      <c r="I74" s="6">
        <v>32</v>
      </c>
      <c r="J74" s="6">
        <v>47.059</v>
      </c>
      <c r="K74" s="6">
        <v>95.788042</v>
      </c>
      <c r="L74" s="7">
        <v>0.951866</v>
      </c>
      <c r="M74" s="7">
        <v>0.89001</v>
      </c>
      <c r="N74" s="7">
        <v>0.996198</v>
      </c>
      <c r="O74" s="6">
        <v>152.799</v>
      </c>
      <c r="P74" s="8">
        <v>0.055634</v>
      </c>
      <c r="Q74" s="9">
        <v>203175</v>
      </c>
      <c r="R74" s="9">
        <v>29998</v>
      </c>
      <c r="S74" s="9">
        <v>233173</v>
      </c>
      <c r="T74" s="6">
        <v>152.799</v>
      </c>
      <c r="U74" s="6">
        <v>227.905</v>
      </c>
      <c r="V74" s="6">
        <v>75.083</v>
      </c>
      <c r="W74" s="6">
        <v>141.65</v>
      </c>
      <c r="X74" s="6">
        <v>11.149</v>
      </c>
      <c r="Y74" s="6">
        <v>77.4656806666667</v>
      </c>
      <c r="Z74" s="10">
        <f t="shared" si="2"/>
        <v>77.4656806666667</v>
      </c>
      <c r="AA74" s="11">
        <f t="shared" si="3"/>
        <v>0</v>
      </c>
      <c r="AB74" s="5" t="s">
        <v>362</v>
      </c>
    </row>
    <row r="75" spans="1:28">
      <c r="A75" s="5">
        <v>4</v>
      </c>
      <c r="B75" s="5" t="s">
        <v>244</v>
      </c>
      <c r="C75" s="5" t="s">
        <v>266</v>
      </c>
      <c r="D75" s="5">
        <v>26</v>
      </c>
      <c r="E75" s="6">
        <v>100</v>
      </c>
      <c r="F75" s="6">
        <v>80.2</v>
      </c>
      <c r="G75" s="6">
        <v>89.01</v>
      </c>
      <c r="H75" s="6">
        <v>92.308</v>
      </c>
      <c r="I75" s="6">
        <v>48</v>
      </c>
      <c r="J75" s="6">
        <v>63.158</v>
      </c>
      <c r="K75" s="6">
        <v>95.499469</v>
      </c>
      <c r="L75" s="7">
        <v>0.945501</v>
      </c>
      <c r="M75" s="7">
        <v>0.912877</v>
      </c>
      <c r="N75" s="7">
        <v>0.985765</v>
      </c>
      <c r="O75" s="6">
        <v>191.738</v>
      </c>
      <c r="P75" s="8">
        <v>0.041508</v>
      </c>
      <c r="Q75" s="9">
        <v>132310</v>
      </c>
      <c r="R75" s="9">
        <v>30092</v>
      </c>
      <c r="S75" s="9">
        <v>162402</v>
      </c>
      <c r="T75" s="6">
        <v>191.738</v>
      </c>
      <c r="U75" s="6">
        <v>243.308</v>
      </c>
      <c r="V75" s="6">
        <v>51.547</v>
      </c>
      <c r="W75" s="6">
        <v>178.846</v>
      </c>
      <c r="X75" s="6">
        <v>12.892</v>
      </c>
      <c r="Y75" s="6">
        <v>82.555823</v>
      </c>
      <c r="Z75" s="10">
        <f t="shared" si="2"/>
        <v>82.555823</v>
      </c>
      <c r="AA75" s="11">
        <f t="shared" si="3"/>
        <v>0</v>
      </c>
      <c r="AB75" s="5" t="s">
        <v>363</v>
      </c>
    </row>
    <row r="76" spans="1:28">
      <c r="A76" s="5">
        <v>4</v>
      </c>
      <c r="B76" s="5" t="s">
        <v>244</v>
      </c>
      <c r="C76" s="5" t="s">
        <v>266</v>
      </c>
      <c r="D76" s="5">
        <v>29</v>
      </c>
      <c r="E76" s="6">
        <v>100</v>
      </c>
      <c r="F76" s="6">
        <v>69.01</v>
      </c>
      <c r="G76" s="6">
        <v>81.67</v>
      </c>
      <c r="H76" s="6">
        <v>75</v>
      </c>
      <c r="I76" s="6">
        <v>62.5</v>
      </c>
      <c r="J76" s="6">
        <v>68.182</v>
      </c>
      <c r="K76" s="6">
        <v>94.891711</v>
      </c>
      <c r="L76" s="7">
        <v>0.950311</v>
      </c>
      <c r="M76" s="7">
        <v>0.86968</v>
      </c>
      <c r="N76" s="7">
        <v>0.956229</v>
      </c>
      <c r="O76" s="6">
        <v>179.466</v>
      </c>
      <c r="P76" s="8">
        <v>0.0479919</v>
      </c>
      <c r="Q76" s="9">
        <v>159722</v>
      </c>
      <c r="R76" s="9">
        <v>32095</v>
      </c>
      <c r="S76" s="9">
        <v>191817</v>
      </c>
      <c r="T76" s="6">
        <v>179.466</v>
      </c>
      <c r="U76" s="6">
        <v>250.501</v>
      </c>
      <c r="V76" s="6">
        <v>71.01</v>
      </c>
      <c r="W76" s="6">
        <v>167.895</v>
      </c>
      <c r="X76" s="6">
        <v>11.571</v>
      </c>
      <c r="Y76" s="6">
        <v>81.581237</v>
      </c>
      <c r="Z76" s="10">
        <f t="shared" si="2"/>
        <v>81.581237</v>
      </c>
      <c r="AA76" s="11">
        <f t="shared" si="3"/>
        <v>0</v>
      </c>
      <c r="AB76" s="5" t="s">
        <v>364</v>
      </c>
    </row>
    <row r="77" spans="1:28">
      <c r="A77" s="5">
        <v>4</v>
      </c>
      <c r="B77" s="5" t="s">
        <v>244</v>
      </c>
      <c r="C77" s="5" t="s">
        <v>266</v>
      </c>
      <c r="D77" s="5">
        <v>44</v>
      </c>
      <c r="E77" s="6">
        <v>100</v>
      </c>
      <c r="F77" s="6">
        <v>67.72</v>
      </c>
      <c r="G77" s="6">
        <v>80.76</v>
      </c>
      <c r="H77" s="6">
        <v>86.842</v>
      </c>
      <c r="I77" s="6">
        <v>62.264</v>
      </c>
      <c r="J77" s="6">
        <v>72.527</v>
      </c>
      <c r="K77" s="6">
        <v>90.565657</v>
      </c>
      <c r="L77" s="7">
        <v>0.869308</v>
      </c>
      <c r="M77" s="7">
        <v>0.842597</v>
      </c>
      <c r="N77" s="7">
        <v>0.943503</v>
      </c>
      <c r="O77" s="6">
        <v>193.991</v>
      </c>
      <c r="P77" s="8">
        <v>0.0503312</v>
      </c>
      <c r="Q77" s="9">
        <v>149381</v>
      </c>
      <c r="R77" s="9">
        <v>40910</v>
      </c>
      <c r="S77" s="9">
        <v>190291</v>
      </c>
      <c r="T77" s="6">
        <v>193.991</v>
      </c>
      <c r="U77" s="6">
        <v>261.067</v>
      </c>
      <c r="V77" s="6">
        <v>67.048</v>
      </c>
      <c r="W77" s="6">
        <v>172.443</v>
      </c>
      <c r="X77" s="6">
        <v>21.548</v>
      </c>
      <c r="Y77" s="6">
        <v>81.284219</v>
      </c>
      <c r="Z77" s="10">
        <f t="shared" si="2"/>
        <v>81.284219</v>
      </c>
      <c r="AA77" s="11">
        <f t="shared" si="3"/>
        <v>0</v>
      </c>
      <c r="AB77" s="5" t="s">
        <v>365</v>
      </c>
    </row>
    <row r="78" spans="1:28">
      <c r="A78" s="5">
        <v>4</v>
      </c>
      <c r="B78" s="5" t="s">
        <v>244</v>
      </c>
      <c r="C78" s="5" t="s">
        <v>266</v>
      </c>
      <c r="D78" s="5">
        <v>52</v>
      </c>
      <c r="E78" s="6">
        <v>95.16</v>
      </c>
      <c r="F78" s="6">
        <v>82.05</v>
      </c>
      <c r="G78" s="6">
        <v>88.12</v>
      </c>
      <c r="H78" s="6">
        <v>81.818</v>
      </c>
      <c r="I78" s="6">
        <v>75</v>
      </c>
      <c r="J78" s="6">
        <v>78.261</v>
      </c>
      <c r="K78" s="6">
        <v>85.260142</v>
      </c>
      <c r="L78" s="7">
        <v>0.800392</v>
      </c>
      <c r="M78" s="7">
        <v>0.776293</v>
      </c>
      <c r="N78" s="7">
        <v>0.924901</v>
      </c>
      <c r="O78" s="6">
        <v>136.559</v>
      </c>
      <c r="P78" s="8">
        <v>0.0404376</v>
      </c>
      <c r="Q78" s="9">
        <v>137443</v>
      </c>
      <c r="R78" s="9">
        <v>25898</v>
      </c>
      <c r="S78" s="9">
        <v>163341</v>
      </c>
      <c r="T78" s="6">
        <v>136.559</v>
      </c>
      <c r="U78" s="6">
        <v>180.938</v>
      </c>
      <c r="V78" s="6">
        <v>44.355</v>
      </c>
      <c r="W78" s="6">
        <v>125.632</v>
      </c>
      <c r="X78" s="6">
        <v>10.927</v>
      </c>
      <c r="Y78" s="6">
        <v>83.8803806666667</v>
      </c>
      <c r="Z78" s="10">
        <f t="shared" si="2"/>
        <v>83.8803806666667</v>
      </c>
      <c r="AA78" s="11">
        <f t="shared" si="3"/>
        <v>0</v>
      </c>
      <c r="AB78" s="5" t="s">
        <v>366</v>
      </c>
    </row>
    <row r="79" spans="1:28">
      <c r="A79" s="5">
        <v>4</v>
      </c>
      <c r="B79" s="5" t="s">
        <v>244</v>
      </c>
      <c r="C79" s="5" t="s">
        <v>266</v>
      </c>
      <c r="D79" s="5">
        <v>53</v>
      </c>
      <c r="E79" s="6">
        <v>100</v>
      </c>
      <c r="F79" s="6">
        <v>74.19</v>
      </c>
      <c r="G79" s="6">
        <v>85.19</v>
      </c>
      <c r="H79" s="6">
        <v>88.889</v>
      </c>
      <c r="I79" s="6">
        <v>77.419</v>
      </c>
      <c r="J79" s="6">
        <v>82.759</v>
      </c>
      <c r="K79" s="6">
        <v>91.536948</v>
      </c>
      <c r="L79" s="7">
        <v>0.920133</v>
      </c>
      <c r="M79" s="7">
        <v>0.848313</v>
      </c>
      <c r="N79" s="7">
        <v>0.961353</v>
      </c>
      <c r="O79" s="6">
        <v>129.372</v>
      </c>
      <c r="P79" s="8">
        <v>0.0397933</v>
      </c>
      <c r="Q79" s="9">
        <v>137324</v>
      </c>
      <c r="R79" s="9">
        <v>24657</v>
      </c>
      <c r="S79" s="9">
        <v>161981</v>
      </c>
      <c r="T79" s="6">
        <v>129.372</v>
      </c>
      <c r="U79" s="6">
        <v>171.114</v>
      </c>
      <c r="V79" s="6">
        <v>41.719</v>
      </c>
      <c r="W79" s="6">
        <v>117.356</v>
      </c>
      <c r="X79" s="6">
        <v>12.016</v>
      </c>
      <c r="Y79" s="6">
        <v>86.495316</v>
      </c>
      <c r="Z79" s="10">
        <f t="shared" si="2"/>
        <v>86.495316</v>
      </c>
      <c r="AA79" s="11">
        <f t="shared" si="3"/>
        <v>0</v>
      </c>
      <c r="AB79" s="5" t="s">
        <v>367</v>
      </c>
    </row>
    <row r="80" spans="1:28">
      <c r="A80" s="5">
        <v>4</v>
      </c>
      <c r="B80" s="5" t="s">
        <v>244</v>
      </c>
      <c r="C80" s="5" t="s">
        <v>266</v>
      </c>
      <c r="D80" s="5">
        <v>145</v>
      </c>
      <c r="E80" s="6">
        <v>100</v>
      </c>
      <c r="F80" s="6">
        <v>89.47</v>
      </c>
      <c r="G80" s="6">
        <v>94.44</v>
      </c>
      <c r="H80" s="6">
        <v>100</v>
      </c>
      <c r="I80" s="6">
        <v>89.474</v>
      </c>
      <c r="J80" s="6">
        <v>94.444</v>
      </c>
      <c r="K80" s="6">
        <v>84.163548</v>
      </c>
      <c r="L80" s="7">
        <v>0.816398</v>
      </c>
      <c r="M80" s="7">
        <v>0.774959</v>
      </c>
      <c r="N80" s="7">
        <v>0.879479</v>
      </c>
      <c r="O80" s="6">
        <v>130.39</v>
      </c>
      <c r="P80" s="8">
        <v>0.0490212</v>
      </c>
      <c r="Q80" s="9">
        <v>169291</v>
      </c>
      <c r="R80" s="9">
        <v>30326</v>
      </c>
      <c r="S80" s="9">
        <v>199617</v>
      </c>
      <c r="T80" s="6">
        <v>130.39</v>
      </c>
      <c r="U80" s="6">
        <v>182.31</v>
      </c>
      <c r="V80" s="6">
        <v>51.894</v>
      </c>
      <c r="W80" s="6">
        <v>120.451</v>
      </c>
      <c r="X80" s="6">
        <v>9.939</v>
      </c>
      <c r="Y80" s="6">
        <v>91.0158493333333</v>
      </c>
      <c r="Z80" s="10">
        <f t="shared" si="2"/>
        <v>91.0158493333333</v>
      </c>
      <c r="AA80" s="11">
        <f t="shared" si="3"/>
        <v>0</v>
      </c>
      <c r="AB80" s="5" t="s">
        <v>368</v>
      </c>
    </row>
    <row r="81" spans="1:28">
      <c r="A81" s="5">
        <v>4</v>
      </c>
      <c r="B81" s="5" t="s">
        <v>244</v>
      </c>
      <c r="C81" s="5" t="s">
        <v>266</v>
      </c>
      <c r="D81" s="5">
        <v>147</v>
      </c>
      <c r="E81" s="6">
        <v>94.74</v>
      </c>
      <c r="F81" s="6">
        <v>62.07</v>
      </c>
      <c r="G81" s="6">
        <v>75</v>
      </c>
      <c r="H81" s="6">
        <v>100</v>
      </c>
      <c r="I81" s="6">
        <v>82.353</v>
      </c>
      <c r="J81" s="6">
        <v>90.323</v>
      </c>
      <c r="K81" s="6">
        <v>87.147679</v>
      </c>
      <c r="L81" s="7">
        <v>0.793287</v>
      </c>
      <c r="M81" s="7">
        <v>0.835875</v>
      </c>
      <c r="N81" s="7">
        <v>0.98995</v>
      </c>
      <c r="O81" s="6">
        <v>87.06</v>
      </c>
      <c r="P81" s="8">
        <v>0.031254</v>
      </c>
      <c r="Q81" s="9">
        <v>103250</v>
      </c>
      <c r="R81" s="9">
        <v>21208</v>
      </c>
      <c r="S81" s="9">
        <v>124458</v>
      </c>
      <c r="T81" s="6">
        <v>87.06</v>
      </c>
      <c r="U81" s="6">
        <v>122.842</v>
      </c>
      <c r="V81" s="6">
        <v>35.758</v>
      </c>
      <c r="W81" s="6">
        <v>74.282</v>
      </c>
      <c r="X81" s="6">
        <v>12.778</v>
      </c>
      <c r="Y81" s="6">
        <v>84.156893</v>
      </c>
      <c r="Z81" s="10">
        <f t="shared" si="2"/>
        <v>84.156893</v>
      </c>
      <c r="AA81" s="11">
        <f t="shared" si="3"/>
        <v>0</v>
      </c>
      <c r="AB81" s="5" t="s">
        <v>369</v>
      </c>
    </row>
    <row r="82" spans="1:28">
      <c r="A82" s="5">
        <v>5</v>
      </c>
      <c r="B82" s="5" t="s">
        <v>245</v>
      </c>
      <c r="C82" s="5" t="s">
        <v>267</v>
      </c>
      <c r="D82" s="5">
        <v>1</v>
      </c>
      <c r="E82" s="6">
        <v>100</v>
      </c>
      <c r="F82" s="6">
        <v>68.52</v>
      </c>
      <c r="G82" s="6">
        <v>81.32</v>
      </c>
      <c r="H82" s="6">
        <v>76.471</v>
      </c>
      <c r="I82" s="6">
        <v>81.25</v>
      </c>
      <c r="J82" s="6">
        <v>78.788</v>
      </c>
      <c r="K82" s="6">
        <v>94.815741</v>
      </c>
      <c r="L82" s="7">
        <v>0.94885</v>
      </c>
      <c r="M82" s="7">
        <v>0.913675</v>
      </c>
      <c r="N82" s="7">
        <v>0.934037</v>
      </c>
      <c r="O82" s="6">
        <v>221.12</v>
      </c>
      <c r="P82" s="8">
        <v>0.521332</v>
      </c>
      <c r="Q82" s="9">
        <v>117323</v>
      </c>
      <c r="R82" s="9">
        <v>47781</v>
      </c>
      <c r="S82" s="9">
        <v>165104</v>
      </c>
      <c r="T82" s="6">
        <v>221.12</v>
      </c>
      <c r="U82" s="6">
        <v>271.584</v>
      </c>
      <c r="V82" s="6">
        <v>50.433</v>
      </c>
      <c r="W82" s="6">
        <v>205.05</v>
      </c>
      <c r="X82" s="6">
        <v>16.07</v>
      </c>
      <c r="Y82" s="6">
        <v>84.9745803333333</v>
      </c>
      <c r="Z82" s="10">
        <f t="shared" si="2"/>
        <v>84.9745803333333</v>
      </c>
      <c r="AA82" s="11">
        <f t="shared" si="3"/>
        <v>0</v>
      </c>
      <c r="AB82" s="5" t="s">
        <v>370</v>
      </c>
    </row>
    <row r="83" spans="1:28">
      <c r="A83" s="5">
        <v>5</v>
      </c>
      <c r="B83" s="5" t="s">
        <v>245</v>
      </c>
      <c r="C83" s="5" t="s">
        <v>267</v>
      </c>
      <c r="D83" s="5">
        <v>2</v>
      </c>
      <c r="E83" s="6">
        <v>100</v>
      </c>
      <c r="F83" s="6">
        <v>82.93</v>
      </c>
      <c r="G83" s="6">
        <v>90.67</v>
      </c>
      <c r="H83" s="6">
        <v>100</v>
      </c>
      <c r="I83" s="6">
        <v>66.667</v>
      </c>
      <c r="J83" s="6">
        <v>80</v>
      </c>
      <c r="K83" s="6">
        <v>93.86537</v>
      </c>
      <c r="L83" s="7">
        <v>0.957302</v>
      </c>
      <c r="M83" s="7">
        <v>0.934471</v>
      </c>
      <c r="N83" s="7">
        <v>0.868644</v>
      </c>
      <c r="O83" s="6">
        <v>132.782</v>
      </c>
      <c r="P83" s="8">
        <v>0.462324</v>
      </c>
      <c r="Q83" s="9">
        <v>130077</v>
      </c>
      <c r="R83" s="9">
        <v>33695</v>
      </c>
      <c r="S83" s="9">
        <v>163772</v>
      </c>
      <c r="T83" s="6">
        <v>132.782</v>
      </c>
      <c r="U83" s="6">
        <v>193.32</v>
      </c>
      <c r="V83" s="6">
        <v>60.515</v>
      </c>
      <c r="W83" s="6">
        <v>119.597</v>
      </c>
      <c r="X83" s="6">
        <v>13.185</v>
      </c>
      <c r="Y83" s="6">
        <v>88.1784566666667</v>
      </c>
      <c r="Z83" s="10">
        <f t="shared" si="2"/>
        <v>88.1784566666667</v>
      </c>
      <c r="AA83" s="11">
        <f t="shared" si="3"/>
        <v>0</v>
      </c>
      <c r="AB83" s="5" t="s">
        <v>371</v>
      </c>
    </row>
    <row r="84" spans="1:28">
      <c r="A84" s="5">
        <v>5</v>
      </c>
      <c r="B84" s="5" t="s">
        <v>245</v>
      </c>
      <c r="C84" s="5" t="s">
        <v>267</v>
      </c>
      <c r="D84" s="5">
        <v>3</v>
      </c>
      <c r="E84" s="6">
        <v>100</v>
      </c>
      <c r="F84" s="6">
        <v>75.61</v>
      </c>
      <c r="G84" s="6">
        <v>86.11</v>
      </c>
      <c r="H84" s="6">
        <v>100</v>
      </c>
      <c r="I84" s="6">
        <v>50</v>
      </c>
      <c r="J84" s="6">
        <v>66.667</v>
      </c>
      <c r="K84" s="6">
        <v>95.589127</v>
      </c>
      <c r="L84" s="7">
        <v>0.945948</v>
      </c>
      <c r="M84" s="7">
        <v>0.95975</v>
      </c>
      <c r="N84" s="7">
        <v>0.938575</v>
      </c>
      <c r="O84" s="6">
        <v>266.417</v>
      </c>
      <c r="P84" s="8">
        <v>0.659602</v>
      </c>
      <c r="Q84" s="9">
        <v>174686</v>
      </c>
      <c r="R84" s="9">
        <v>51705</v>
      </c>
      <c r="S84" s="9">
        <v>226391</v>
      </c>
      <c r="T84" s="6">
        <v>266.417</v>
      </c>
      <c r="U84" s="6">
        <v>316.098</v>
      </c>
      <c r="V84" s="6">
        <v>49.654</v>
      </c>
      <c r="W84" s="6">
        <v>248.337</v>
      </c>
      <c r="X84" s="6">
        <v>18.08</v>
      </c>
      <c r="Y84" s="6">
        <v>82.788709</v>
      </c>
      <c r="Z84" s="10">
        <f t="shared" si="2"/>
        <v>82.788709</v>
      </c>
      <c r="AA84" s="11">
        <f t="shared" si="3"/>
        <v>0</v>
      </c>
      <c r="AB84" s="5" t="s">
        <v>372</v>
      </c>
    </row>
    <row r="85" spans="1:28">
      <c r="A85" s="5">
        <v>5</v>
      </c>
      <c r="B85" s="5" t="s">
        <v>245</v>
      </c>
      <c r="C85" s="5" t="s">
        <v>267</v>
      </c>
      <c r="D85" s="5">
        <v>4</v>
      </c>
      <c r="E85" s="6">
        <v>81.82</v>
      </c>
      <c r="F85" s="6">
        <v>36</v>
      </c>
      <c r="G85" s="6">
        <v>50</v>
      </c>
      <c r="H85" s="6">
        <v>92</v>
      </c>
      <c r="I85" s="6">
        <v>69.697</v>
      </c>
      <c r="J85" s="6">
        <v>79.31</v>
      </c>
      <c r="K85" s="6">
        <v>90.387076</v>
      </c>
      <c r="L85" s="7">
        <v>0.864435</v>
      </c>
      <c r="M85" s="7">
        <v>0.834932</v>
      </c>
      <c r="N85" s="7">
        <v>0.928389</v>
      </c>
      <c r="O85" s="6">
        <v>245.047</v>
      </c>
      <c r="P85" s="8">
        <v>0.821718</v>
      </c>
      <c r="Q85" s="9">
        <v>244686</v>
      </c>
      <c r="R85" s="9">
        <v>55391</v>
      </c>
      <c r="S85" s="9">
        <v>300077</v>
      </c>
      <c r="T85" s="6">
        <v>245.047</v>
      </c>
      <c r="U85" s="6">
        <v>319.766</v>
      </c>
      <c r="V85" s="6">
        <v>74.692</v>
      </c>
      <c r="W85" s="6">
        <v>223.031</v>
      </c>
      <c r="X85" s="6">
        <v>22.016</v>
      </c>
      <c r="Y85" s="6">
        <v>73.2323586666667</v>
      </c>
      <c r="Z85" s="10">
        <f t="shared" si="2"/>
        <v>73.2323586666667</v>
      </c>
      <c r="AA85" s="11">
        <f t="shared" si="3"/>
        <v>0</v>
      </c>
      <c r="AB85" s="5" t="s">
        <v>373</v>
      </c>
    </row>
    <row r="86" spans="1:28">
      <c r="A86" s="5">
        <v>5</v>
      </c>
      <c r="B86" s="5" t="s">
        <v>245</v>
      </c>
      <c r="C86" s="5" t="s">
        <v>267</v>
      </c>
      <c r="D86" s="5">
        <v>5</v>
      </c>
      <c r="E86" s="6">
        <v>100</v>
      </c>
      <c r="F86" s="6">
        <v>80.95</v>
      </c>
      <c r="G86" s="6">
        <v>89.47</v>
      </c>
      <c r="H86" s="6">
        <v>95.455</v>
      </c>
      <c r="I86" s="6">
        <v>56.757</v>
      </c>
      <c r="J86" s="6">
        <v>71.186</v>
      </c>
      <c r="K86" s="6">
        <v>95.679919</v>
      </c>
      <c r="L86" s="7">
        <v>0.923667</v>
      </c>
      <c r="M86" s="7">
        <v>0.892161</v>
      </c>
      <c r="N86" s="7">
        <v>0.995</v>
      </c>
      <c r="O86" s="6">
        <v>88.781</v>
      </c>
      <c r="P86" s="8">
        <v>0.472258</v>
      </c>
      <c r="Q86" s="9">
        <v>141296</v>
      </c>
      <c r="R86" s="9">
        <v>31611</v>
      </c>
      <c r="S86" s="9">
        <v>172907</v>
      </c>
      <c r="T86" s="6">
        <v>88.781</v>
      </c>
      <c r="U86" s="6">
        <v>153.883</v>
      </c>
      <c r="V86" s="6">
        <v>65.083</v>
      </c>
      <c r="W86" s="6">
        <v>78.95</v>
      </c>
      <c r="X86" s="6">
        <v>9.831</v>
      </c>
      <c r="Y86" s="6">
        <v>85.4453063333333</v>
      </c>
      <c r="Z86" s="10">
        <f t="shared" si="2"/>
        <v>85.4453063333333</v>
      </c>
      <c r="AA86" s="11">
        <f t="shared" si="3"/>
        <v>0</v>
      </c>
      <c r="AB86" s="5" t="s">
        <v>374</v>
      </c>
    </row>
    <row r="87" spans="1:28">
      <c r="A87" s="5">
        <v>5</v>
      </c>
      <c r="B87" s="5" t="s">
        <v>245</v>
      </c>
      <c r="C87" s="5" t="s">
        <v>267</v>
      </c>
      <c r="D87" s="5">
        <v>6</v>
      </c>
      <c r="E87" s="6">
        <v>100</v>
      </c>
      <c r="F87" s="6">
        <v>84.13</v>
      </c>
      <c r="G87" s="6">
        <v>91.38</v>
      </c>
      <c r="H87" s="6">
        <v>84.211</v>
      </c>
      <c r="I87" s="6">
        <v>66.667</v>
      </c>
      <c r="J87" s="6">
        <v>74.419</v>
      </c>
      <c r="K87" s="6">
        <v>92.349341</v>
      </c>
      <c r="L87" s="7">
        <v>0.842377</v>
      </c>
      <c r="M87" s="7">
        <v>0.926894</v>
      </c>
      <c r="N87" s="7">
        <v>0.937093</v>
      </c>
      <c r="O87" s="6">
        <v>754.247</v>
      </c>
      <c r="P87" s="8">
        <v>0.647184</v>
      </c>
      <c r="Q87" s="9">
        <v>155679</v>
      </c>
      <c r="R87" s="9">
        <v>55971</v>
      </c>
      <c r="S87" s="9">
        <v>211650</v>
      </c>
      <c r="T87" s="6">
        <v>754.247</v>
      </c>
      <c r="U87" s="6">
        <v>1166.704</v>
      </c>
      <c r="V87" s="6">
        <v>412.429</v>
      </c>
      <c r="W87" s="6">
        <v>733.467</v>
      </c>
      <c r="X87" s="6">
        <v>20.78</v>
      </c>
      <c r="Y87" s="6">
        <v>86.049447</v>
      </c>
      <c r="Z87" s="10">
        <f t="shared" si="2"/>
        <v>86.049447</v>
      </c>
      <c r="AA87" s="11">
        <f t="shared" si="3"/>
        <v>0</v>
      </c>
      <c r="AB87" s="5" t="s">
        <v>375</v>
      </c>
    </row>
    <row r="88" spans="1:28">
      <c r="A88" s="5">
        <v>5</v>
      </c>
      <c r="B88" s="5" t="s">
        <v>245</v>
      </c>
      <c r="C88" s="5" t="s">
        <v>267</v>
      </c>
      <c r="D88" s="5">
        <v>8</v>
      </c>
      <c r="E88" s="6">
        <v>96.72</v>
      </c>
      <c r="F88" s="6">
        <v>71.43</v>
      </c>
      <c r="G88" s="6">
        <v>82.17</v>
      </c>
      <c r="H88" s="6">
        <v>93.333</v>
      </c>
      <c r="I88" s="6">
        <v>77.778</v>
      </c>
      <c r="J88" s="6">
        <v>84.848</v>
      </c>
      <c r="K88" s="6">
        <v>90.681206</v>
      </c>
      <c r="L88" s="7">
        <v>0.88803</v>
      </c>
      <c r="M88" s="7">
        <v>0.916777</v>
      </c>
      <c r="N88" s="7">
        <v>0.85</v>
      </c>
      <c r="O88" s="6">
        <v>107.389</v>
      </c>
      <c r="P88" s="8">
        <v>0.389334</v>
      </c>
      <c r="Q88" s="9">
        <v>107730</v>
      </c>
      <c r="R88" s="9">
        <v>28979</v>
      </c>
      <c r="S88" s="9">
        <v>136709</v>
      </c>
      <c r="T88" s="6">
        <v>107.389</v>
      </c>
      <c r="U88" s="6">
        <v>147.407</v>
      </c>
      <c r="V88" s="6">
        <v>39.996</v>
      </c>
      <c r="W88" s="6">
        <v>88.514</v>
      </c>
      <c r="X88" s="6">
        <v>18.875</v>
      </c>
      <c r="Y88" s="6">
        <v>85.8997353333333</v>
      </c>
      <c r="Z88" s="10">
        <f t="shared" si="2"/>
        <v>85.8997353333333</v>
      </c>
      <c r="AA88" s="11">
        <f t="shared" si="3"/>
        <v>0</v>
      </c>
      <c r="AB88" s="5" t="s">
        <v>376</v>
      </c>
    </row>
    <row r="89" spans="1:28">
      <c r="A89" s="5">
        <v>5</v>
      </c>
      <c r="B89" s="5" t="s">
        <v>245</v>
      </c>
      <c r="C89" s="5" t="s">
        <v>267</v>
      </c>
      <c r="D89" s="5">
        <v>9</v>
      </c>
      <c r="E89" s="6">
        <v>100</v>
      </c>
      <c r="F89" s="6">
        <v>73.53</v>
      </c>
      <c r="G89" s="6">
        <v>84.75</v>
      </c>
      <c r="H89" s="6">
        <v>89.474</v>
      </c>
      <c r="I89" s="6">
        <v>56.667</v>
      </c>
      <c r="J89" s="6">
        <v>69.388</v>
      </c>
      <c r="K89" s="6">
        <v>83.102483</v>
      </c>
      <c r="L89" s="7">
        <v>0.955784</v>
      </c>
      <c r="M89" s="7">
        <v>0.797378</v>
      </c>
      <c r="N89" s="7">
        <v>0.844118</v>
      </c>
      <c r="O89" s="6">
        <v>170.024</v>
      </c>
      <c r="P89" s="8">
        <v>0.708236</v>
      </c>
      <c r="Q89" s="9">
        <v>215941</v>
      </c>
      <c r="R89" s="9">
        <v>46059</v>
      </c>
      <c r="S89" s="9">
        <v>262000</v>
      </c>
      <c r="T89" s="6">
        <v>170.024</v>
      </c>
      <c r="U89" s="6">
        <v>231.415</v>
      </c>
      <c r="V89" s="6">
        <v>61.366</v>
      </c>
      <c r="W89" s="6">
        <v>146.592</v>
      </c>
      <c r="X89" s="6">
        <v>23.432</v>
      </c>
      <c r="Y89" s="6">
        <v>79.080161</v>
      </c>
      <c r="Z89" s="10">
        <f t="shared" si="2"/>
        <v>79.080161</v>
      </c>
      <c r="AA89" s="11">
        <f t="shared" si="3"/>
        <v>0</v>
      </c>
      <c r="AB89" s="5" t="s">
        <v>377</v>
      </c>
    </row>
    <row r="90" spans="1:28">
      <c r="A90" s="5">
        <v>5</v>
      </c>
      <c r="B90" s="5" t="s">
        <v>245</v>
      </c>
      <c r="C90" s="5" t="s">
        <v>267</v>
      </c>
      <c r="D90" s="5">
        <v>10</v>
      </c>
      <c r="E90" s="6">
        <v>87.5</v>
      </c>
      <c r="F90" s="6">
        <v>63.64</v>
      </c>
      <c r="G90" s="6">
        <v>73.68</v>
      </c>
      <c r="H90" s="6">
        <v>100</v>
      </c>
      <c r="I90" s="6">
        <v>100</v>
      </c>
      <c r="J90" s="6">
        <v>100</v>
      </c>
      <c r="K90" s="6">
        <v>93.451078</v>
      </c>
      <c r="L90" s="7">
        <v>0.943491</v>
      </c>
      <c r="M90" s="7">
        <v>0.886462</v>
      </c>
      <c r="N90" s="7">
        <v>0.907336</v>
      </c>
      <c r="O90" s="6">
        <v>146.216</v>
      </c>
      <c r="P90" s="8">
        <v>0.630968</v>
      </c>
      <c r="Q90" s="9">
        <v>203590</v>
      </c>
      <c r="R90" s="9">
        <v>37298</v>
      </c>
      <c r="S90" s="9">
        <v>240888</v>
      </c>
      <c r="T90" s="6">
        <v>146.216</v>
      </c>
      <c r="U90" s="6">
        <v>203.239</v>
      </c>
      <c r="V90" s="6">
        <v>57</v>
      </c>
      <c r="W90" s="6">
        <v>127.978</v>
      </c>
      <c r="X90" s="6">
        <v>18.238</v>
      </c>
      <c r="Y90" s="6">
        <v>89.0436926666667</v>
      </c>
      <c r="Z90" s="10">
        <f t="shared" si="2"/>
        <v>89.0436926666667</v>
      </c>
      <c r="AA90" s="11">
        <f t="shared" si="3"/>
        <v>0</v>
      </c>
      <c r="AB90" s="5" t="s">
        <v>378</v>
      </c>
    </row>
    <row r="91" spans="1:28">
      <c r="A91" s="5">
        <v>5</v>
      </c>
      <c r="B91" s="5" t="s">
        <v>245</v>
      </c>
      <c r="C91" s="5" t="s">
        <v>267</v>
      </c>
      <c r="D91" s="5">
        <v>12</v>
      </c>
      <c r="E91" s="6">
        <v>98.48</v>
      </c>
      <c r="F91" s="6">
        <v>76.34</v>
      </c>
      <c r="G91" s="6">
        <v>86.01</v>
      </c>
      <c r="H91" s="6">
        <v>66.667</v>
      </c>
      <c r="I91" s="6">
        <v>41.176</v>
      </c>
      <c r="J91" s="6">
        <v>50.909</v>
      </c>
      <c r="K91" s="6">
        <v>95.685114</v>
      </c>
      <c r="L91" s="7">
        <v>0.923514</v>
      </c>
      <c r="M91" s="7">
        <v>0.986508</v>
      </c>
      <c r="N91" s="7">
        <v>0.951087</v>
      </c>
      <c r="O91" s="6">
        <v>94.181</v>
      </c>
      <c r="P91" s="8">
        <v>0.510238</v>
      </c>
      <c r="Q91" s="9">
        <v>164441</v>
      </c>
      <c r="R91" s="9">
        <v>30226</v>
      </c>
      <c r="S91" s="9">
        <v>194667</v>
      </c>
      <c r="T91" s="6">
        <v>94.181</v>
      </c>
      <c r="U91" s="6">
        <v>151.384</v>
      </c>
      <c r="V91" s="6">
        <v>57.182</v>
      </c>
      <c r="W91" s="6">
        <v>75.831</v>
      </c>
      <c r="X91" s="6">
        <v>18.35</v>
      </c>
      <c r="Y91" s="6">
        <v>77.5347046666667</v>
      </c>
      <c r="Z91" s="10">
        <f t="shared" si="2"/>
        <v>77.5347046666667</v>
      </c>
      <c r="AA91" s="11">
        <f t="shared" si="3"/>
        <v>0</v>
      </c>
      <c r="AB91" s="5" t="s">
        <v>379</v>
      </c>
    </row>
    <row r="92" spans="1:28">
      <c r="A92" s="5">
        <v>5</v>
      </c>
      <c r="B92" s="5" t="s">
        <v>245</v>
      </c>
      <c r="C92" s="5" t="s">
        <v>267</v>
      </c>
      <c r="D92" s="5">
        <v>20</v>
      </c>
      <c r="E92" s="6">
        <v>100</v>
      </c>
      <c r="F92" s="6">
        <v>85.48</v>
      </c>
      <c r="G92" s="6">
        <v>92.17</v>
      </c>
      <c r="H92" s="6">
        <v>100</v>
      </c>
      <c r="I92" s="6">
        <v>58.065</v>
      </c>
      <c r="J92" s="6">
        <v>73.469</v>
      </c>
      <c r="K92" s="6">
        <v>95.644933</v>
      </c>
      <c r="L92" s="7">
        <v>0.959308</v>
      </c>
      <c r="M92" s="7">
        <v>0.943498</v>
      </c>
      <c r="N92" s="7">
        <v>0.929577</v>
      </c>
      <c r="O92" s="6">
        <v>180.616</v>
      </c>
      <c r="P92" s="8">
        <v>0.57213</v>
      </c>
      <c r="Q92" s="9">
        <v>145899</v>
      </c>
      <c r="R92" s="9">
        <v>46722</v>
      </c>
      <c r="S92" s="9">
        <v>192621</v>
      </c>
      <c r="T92" s="6">
        <v>180.616</v>
      </c>
      <c r="U92" s="6">
        <v>246.038</v>
      </c>
      <c r="V92" s="6">
        <v>65.396</v>
      </c>
      <c r="W92" s="6">
        <v>156.423</v>
      </c>
      <c r="X92" s="6">
        <v>24.193</v>
      </c>
      <c r="Y92" s="6">
        <v>87.0946443333333</v>
      </c>
      <c r="Z92" s="10">
        <f t="shared" si="2"/>
        <v>87.0946443333333</v>
      </c>
      <c r="AA92" s="11">
        <f t="shared" si="3"/>
        <v>0</v>
      </c>
      <c r="AB92" s="5" t="s">
        <v>380</v>
      </c>
    </row>
    <row r="93" spans="1:28">
      <c r="A93" s="5">
        <v>5</v>
      </c>
      <c r="B93" s="5" t="s">
        <v>245</v>
      </c>
      <c r="C93" s="5" t="s">
        <v>267</v>
      </c>
      <c r="D93" s="5">
        <v>22</v>
      </c>
      <c r="E93" s="6">
        <v>100</v>
      </c>
      <c r="F93" s="6">
        <v>67.8</v>
      </c>
      <c r="G93" s="6">
        <v>80.81</v>
      </c>
      <c r="H93" s="6">
        <v>100</v>
      </c>
      <c r="I93" s="6">
        <v>92.308</v>
      </c>
      <c r="J93" s="6">
        <v>96</v>
      </c>
      <c r="K93" s="6">
        <v>96.628532</v>
      </c>
      <c r="L93" s="7">
        <v>0.969167</v>
      </c>
      <c r="M93" s="7">
        <v>0.95601</v>
      </c>
      <c r="N93" s="7">
        <v>0.942675</v>
      </c>
      <c r="O93" s="6">
        <v>98.951</v>
      </c>
      <c r="P93" s="8">
        <v>0.435616</v>
      </c>
      <c r="Q93" s="9">
        <v>131690</v>
      </c>
      <c r="R93" s="9">
        <v>28706</v>
      </c>
      <c r="S93" s="9">
        <v>160396</v>
      </c>
      <c r="T93" s="6">
        <v>98.951</v>
      </c>
      <c r="U93" s="6">
        <v>167.621</v>
      </c>
      <c r="V93" s="6">
        <v>68.648</v>
      </c>
      <c r="W93" s="6">
        <v>81.509</v>
      </c>
      <c r="X93" s="6">
        <v>17.442</v>
      </c>
      <c r="Y93" s="6">
        <v>91.1461773333333</v>
      </c>
      <c r="Z93" s="10">
        <f t="shared" si="2"/>
        <v>91.1461773333333</v>
      </c>
      <c r="AA93" s="11">
        <f t="shared" si="3"/>
        <v>0</v>
      </c>
      <c r="AB93" s="5" t="s">
        <v>381</v>
      </c>
    </row>
    <row r="94" spans="1:28">
      <c r="A94" s="5">
        <v>5</v>
      </c>
      <c r="B94" s="5" t="s">
        <v>245</v>
      </c>
      <c r="C94" s="5" t="s">
        <v>267</v>
      </c>
      <c r="D94" s="5">
        <v>24</v>
      </c>
      <c r="E94" s="6">
        <v>100</v>
      </c>
      <c r="F94" s="6">
        <v>83.78</v>
      </c>
      <c r="G94" s="6">
        <v>91.18</v>
      </c>
      <c r="H94" s="6">
        <v>100</v>
      </c>
      <c r="I94" s="6">
        <v>40</v>
      </c>
      <c r="J94" s="6">
        <v>57.143</v>
      </c>
      <c r="K94" s="6">
        <v>92.316923</v>
      </c>
      <c r="L94" s="7">
        <v>0.943739</v>
      </c>
      <c r="M94" s="7">
        <v>0.943479</v>
      </c>
      <c r="N94" s="7">
        <v>0.824786</v>
      </c>
      <c r="O94" s="6">
        <v>112.669</v>
      </c>
      <c r="P94" s="8">
        <v>0.57162</v>
      </c>
      <c r="Q94" s="9">
        <v>194169</v>
      </c>
      <c r="R94" s="9">
        <v>30547</v>
      </c>
      <c r="S94" s="9">
        <v>224716</v>
      </c>
      <c r="T94" s="6">
        <v>112.669</v>
      </c>
      <c r="U94" s="6">
        <v>157.501</v>
      </c>
      <c r="V94" s="6">
        <v>44.808</v>
      </c>
      <c r="W94" s="6">
        <v>94.927</v>
      </c>
      <c r="X94" s="6">
        <v>17.742</v>
      </c>
      <c r="Y94" s="6">
        <v>80.2133076666667</v>
      </c>
      <c r="Z94" s="10">
        <f t="shared" si="2"/>
        <v>80.2133076666667</v>
      </c>
      <c r="AA94" s="11">
        <f t="shared" si="3"/>
        <v>0</v>
      </c>
      <c r="AB94" s="5" t="s">
        <v>382</v>
      </c>
    </row>
    <row r="95" spans="1:28">
      <c r="A95" s="5">
        <v>5</v>
      </c>
      <c r="B95" s="5" t="s">
        <v>245</v>
      </c>
      <c r="C95" s="5" t="s">
        <v>267</v>
      </c>
      <c r="D95" s="5">
        <v>26</v>
      </c>
      <c r="E95" s="6">
        <v>100</v>
      </c>
      <c r="F95" s="6">
        <v>88.12</v>
      </c>
      <c r="G95" s="6">
        <v>93.68</v>
      </c>
      <c r="H95" s="6">
        <v>87.5</v>
      </c>
      <c r="I95" s="6">
        <v>56</v>
      </c>
      <c r="J95" s="6">
        <v>68.293</v>
      </c>
      <c r="K95" s="6">
        <v>94.973684</v>
      </c>
      <c r="L95" s="7">
        <v>0.935833</v>
      </c>
      <c r="M95" s="7">
        <v>0.967971</v>
      </c>
      <c r="N95" s="7">
        <v>0.915751</v>
      </c>
      <c r="O95" s="6">
        <v>150.039</v>
      </c>
      <c r="P95" s="8">
        <v>0.44818</v>
      </c>
      <c r="Q95" s="9">
        <v>123917</v>
      </c>
      <c r="R95" s="9">
        <v>33391</v>
      </c>
      <c r="S95" s="9">
        <v>157308</v>
      </c>
      <c r="T95" s="6">
        <v>150.039</v>
      </c>
      <c r="U95" s="6">
        <v>190.971</v>
      </c>
      <c r="V95" s="6">
        <v>40.905</v>
      </c>
      <c r="W95" s="6">
        <v>130.548</v>
      </c>
      <c r="X95" s="6">
        <v>19.491</v>
      </c>
      <c r="Y95" s="6">
        <v>85.6488946666667</v>
      </c>
      <c r="Z95" s="10">
        <f t="shared" si="2"/>
        <v>85.6488946666667</v>
      </c>
      <c r="AA95" s="11">
        <f t="shared" si="3"/>
        <v>0</v>
      </c>
      <c r="AB95" s="5" t="s">
        <v>383</v>
      </c>
    </row>
    <row r="96" spans="1:28">
      <c r="A96" s="5">
        <v>5</v>
      </c>
      <c r="B96" s="5" t="s">
        <v>245</v>
      </c>
      <c r="C96" s="5" t="s">
        <v>267</v>
      </c>
      <c r="D96" s="5">
        <v>29</v>
      </c>
      <c r="E96" s="6">
        <v>100</v>
      </c>
      <c r="F96" s="6">
        <v>67.61</v>
      </c>
      <c r="G96" s="6">
        <v>80.67</v>
      </c>
      <c r="H96" s="6">
        <v>89.474</v>
      </c>
      <c r="I96" s="6">
        <v>70.833</v>
      </c>
      <c r="J96" s="6">
        <v>79.07</v>
      </c>
      <c r="K96" s="6">
        <v>96.696745</v>
      </c>
      <c r="L96" s="7">
        <v>0.944681</v>
      </c>
      <c r="M96" s="7">
        <v>0.942342</v>
      </c>
      <c r="N96" s="7">
        <v>0.983539</v>
      </c>
      <c r="O96" s="6">
        <v>144.986</v>
      </c>
      <c r="P96" s="8">
        <v>0.517514</v>
      </c>
      <c r="Q96" s="9">
        <v>154282</v>
      </c>
      <c r="R96" s="9">
        <v>34825</v>
      </c>
      <c r="S96" s="9">
        <v>189107</v>
      </c>
      <c r="T96" s="6">
        <v>144.986</v>
      </c>
      <c r="U96" s="6">
        <v>200.753</v>
      </c>
      <c r="V96" s="6">
        <v>55.744</v>
      </c>
      <c r="W96" s="6">
        <v>125.825</v>
      </c>
      <c r="X96" s="6">
        <v>19.161</v>
      </c>
      <c r="Y96" s="6">
        <v>85.478915</v>
      </c>
      <c r="Z96" s="10">
        <f t="shared" si="2"/>
        <v>85.478915</v>
      </c>
      <c r="AA96" s="11">
        <f t="shared" si="3"/>
        <v>0</v>
      </c>
      <c r="AB96" s="5" t="s">
        <v>384</v>
      </c>
    </row>
    <row r="97" spans="1:28">
      <c r="A97" s="5">
        <v>5</v>
      </c>
      <c r="B97" s="5" t="s">
        <v>245</v>
      </c>
      <c r="C97" s="5" t="s">
        <v>267</v>
      </c>
      <c r="D97" s="5">
        <v>44</v>
      </c>
      <c r="E97" s="6">
        <v>99.21</v>
      </c>
      <c r="F97" s="6">
        <v>73.54</v>
      </c>
      <c r="G97" s="6">
        <v>84.47</v>
      </c>
      <c r="H97" s="6">
        <v>76.667</v>
      </c>
      <c r="I97" s="6">
        <v>43.396</v>
      </c>
      <c r="J97" s="6">
        <v>55.422</v>
      </c>
      <c r="K97" s="6">
        <v>88.780837</v>
      </c>
      <c r="L97" s="7">
        <v>0.941558</v>
      </c>
      <c r="M97" s="7">
        <v>0.756911</v>
      </c>
      <c r="N97" s="7">
        <v>0.930435</v>
      </c>
      <c r="O97" s="6">
        <v>131.615</v>
      </c>
      <c r="P97" s="8">
        <v>0.576406</v>
      </c>
      <c r="Q97" s="9">
        <v>145151</v>
      </c>
      <c r="R97" s="9">
        <v>47684</v>
      </c>
      <c r="S97" s="9">
        <v>192835</v>
      </c>
      <c r="T97" s="6">
        <v>131.615</v>
      </c>
      <c r="U97" s="6">
        <v>211.895</v>
      </c>
      <c r="V97" s="6">
        <v>80.246</v>
      </c>
      <c r="W97" s="6">
        <v>112.222</v>
      </c>
      <c r="X97" s="6">
        <v>19.393</v>
      </c>
      <c r="Y97" s="6">
        <v>76.224279</v>
      </c>
      <c r="Z97" s="10">
        <f t="shared" si="2"/>
        <v>76.224279</v>
      </c>
      <c r="AA97" s="11">
        <f t="shared" si="3"/>
        <v>0</v>
      </c>
      <c r="AB97" s="5" t="s">
        <v>385</v>
      </c>
    </row>
    <row r="98" spans="1:28">
      <c r="A98" s="5">
        <v>5</v>
      </c>
      <c r="B98" s="5" t="s">
        <v>245</v>
      </c>
      <c r="C98" s="5" t="s">
        <v>267</v>
      </c>
      <c r="D98" s="5">
        <v>52</v>
      </c>
      <c r="E98" s="6">
        <v>100</v>
      </c>
      <c r="F98" s="6">
        <v>71.79</v>
      </c>
      <c r="G98" s="6">
        <v>83.58</v>
      </c>
      <c r="H98" s="6">
        <v>90</v>
      </c>
      <c r="I98" s="6">
        <v>75</v>
      </c>
      <c r="J98" s="6">
        <v>81.818</v>
      </c>
      <c r="K98" s="6">
        <v>86.788502</v>
      </c>
      <c r="L98" s="7">
        <v>0.858008</v>
      </c>
      <c r="M98" s="7">
        <v>0.839023</v>
      </c>
      <c r="N98" s="7">
        <v>0.841202</v>
      </c>
      <c r="O98" s="6">
        <v>103.947</v>
      </c>
      <c r="P98" s="8">
        <v>0.45047</v>
      </c>
      <c r="Q98" s="9">
        <v>132646</v>
      </c>
      <c r="R98" s="9">
        <v>30863</v>
      </c>
      <c r="S98" s="9">
        <v>163509</v>
      </c>
      <c r="T98" s="6">
        <v>103.947</v>
      </c>
      <c r="U98" s="6">
        <v>142.235</v>
      </c>
      <c r="V98" s="6">
        <v>38.264</v>
      </c>
      <c r="W98" s="6">
        <v>86.624</v>
      </c>
      <c r="X98" s="6">
        <v>17.323</v>
      </c>
      <c r="Y98" s="6">
        <v>84.0621673333333</v>
      </c>
      <c r="Z98" s="10">
        <f t="shared" si="2"/>
        <v>84.0621673333333</v>
      </c>
      <c r="AA98" s="11">
        <f t="shared" si="3"/>
        <v>0</v>
      </c>
      <c r="AB98" s="5" t="s">
        <v>386</v>
      </c>
    </row>
    <row r="99" spans="1:28">
      <c r="A99" s="5">
        <v>5</v>
      </c>
      <c r="B99" s="5" t="s">
        <v>245</v>
      </c>
      <c r="C99" s="5" t="s">
        <v>267</v>
      </c>
      <c r="D99" s="5">
        <v>53</v>
      </c>
      <c r="E99" s="6">
        <v>100</v>
      </c>
      <c r="F99" s="6">
        <v>85.48</v>
      </c>
      <c r="G99" s="6">
        <v>92.17</v>
      </c>
      <c r="H99" s="6">
        <v>92.593</v>
      </c>
      <c r="I99" s="6">
        <v>80.645</v>
      </c>
      <c r="J99" s="6">
        <v>86.207</v>
      </c>
      <c r="K99" s="6">
        <v>94.314268</v>
      </c>
      <c r="L99" s="7">
        <v>0.9225</v>
      </c>
      <c r="M99" s="7">
        <v>0.880995</v>
      </c>
      <c r="N99" s="7">
        <v>0.958974</v>
      </c>
      <c r="O99" s="6">
        <v>99.196</v>
      </c>
      <c r="P99" s="8">
        <v>0.434398</v>
      </c>
      <c r="Q99" s="9">
        <v>133067</v>
      </c>
      <c r="R99" s="9">
        <v>28044</v>
      </c>
      <c r="S99" s="9">
        <v>161111</v>
      </c>
      <c r="T99" s="6">
        <v>99.196</v>
      </c>
      <c r="U99" s="6">
        <v>145.098</v>
      </c>
      <c r="V99" s="6">
        <v>45.881</v>
      </c>
      <c r="W99" s="6">
        <v>83.322</v>
      </c>
      <c r="X99" s="6">
        <v>15.874</v>
      </c>
      <c r="Y99" s="6">
        <v>90.8970893333333</v>
      </c>
      <c r="Z99" s="10">
        <f t="shared" si="2"/>
        <v>90.8970893333333</v>
      </c>
      <c r="AA99" s="11">
        <f t="shared" si="3"/>
        <v>0</v>
      </c>
      <c r="AB99" s="5" t="s">
        <v>387</v>
      </c>
    </row>
    <row r="100" spans="1:28">
      <c r="A100" s="5">
        <v>5</v>
      </c>
      <c r="B100" s="5" t="s">
        <v>245</v>
      </c>
      <c r="C100" s="5" t="s">
        <v>267</v>
      </c>
      <c r="D100" s="5">
        <v>145</v>
      </c>
      <c r="E100" s="6">
        <v>96.88</v>
      </c>
      <c r="F100" s="6">
        <v>86.84</v>
      </c>
      <c r="G100" s="6">
        <v>91.58</v>
      </c>
      <c r="H100" s="6">
        <v>100</v>
      </c>
      <c r="I100" s="6">
        <v>57.895</v>
      </c>
      <c r="J100" s="6">
        <v>73.333</v>
      </c>
      <c r="K100" s="6">
        <v>95.477375</v>
      </c>
      <c r="L100" s="7">
        <v>0.944808</v>
      </c>
      <c r="M100" s="7">
        <v>0.903748</v>
      </c>
      <c r="N100" s="7">
        <v>0.952381</v>
      </c>
      <c r="O100" s="6">
        <v>113.405</v>
      </c>
      <c r="P100" s="8">
        <v>0.496404</v>
      </c>
      <c r="Q100" s="9">
        <v>157656</v>
      </c>
      <c r="R100" s="9">
        <v>30182</v>
      </c>
      <c r="S100" s="9">
        <v>187838</v>
      </c>
      <c r="T100" s="6">
        <v>113.405</v>
      </c>
      <c r="U100" s="6">
        <v>158.422</v>
      </c>
      <c r="V100" s="6">
        <v>44.991</v>
      </c>
      <c r="W100" s="6">
        <v>96.962</v>
      </c>
      <c r="X100" s="6">
        <v>16.443</v>
      </c>
      <c r="Y100" s="6">
        <v>86.7967916666667</v>
      </c>
      <c r="Z100" s="10">
        <f t="shared" si="2"/>
        <v>86.7967916666667</v>
      </c>
      <c r="AA100" s="11">
        <f t="shared" si="3"/>
        <v>0</v>
      </c>
      <c r="AB100" s="5" t="s">
        <v>388</v>
      </c>
    </row>
    <row r="101" spans="1:28">
      <c r="A101" s="5">
        <v>5</v>
      </c>
      <c r="B101" s="5" t="s">
        <v>245</v>
      </c>
      <c r="C101" s="5" t="s">
        <v>267</v>
      </c>
      <c r="D101" s="5">
        <v>147</v>
      </c>
      <c r="E101" s="6">
        <v>95.83</v>
      </c>
      <c r="F101" s="6">
        <v>93.1</v>
      </c>
      <c r="G101" s="6">
        <v>94.45</v>
      </c>
      <c r="H101" s="6">
        <v>93.75</v>
      </c>
      <c r="I101" s="6">
        <v>88.235</v>
      </c>
      <c r="J101" s="6">
        <v>90.909</v>
      </c>
      <c r="K101" s="6">
        <v>89.174839</v>
      </c>
      <c r="L101" s="7">
        <v>0.813374</v>
      </c>
      <c r="M101" s="7">
        <v>0.903404</v>
      </c>
      <c r="N101" s="7">
        <v>0.981707</v>
      </c>
      <c r="O101" s="6">
        <v>83.551</v>
      </c>
      <c r="P101" s="8">
        <v>0.307306</v>
      </c>
      <c r="Q101" s="9">
        <v>96215</v>
      </c>
      <c r="R101" s="9">
        <v>19146</v>
      </c>
      <c r="S101" s="9">
        <v>115361</v>
      </c>
      <c r="T101" s="6">
        <v>83.551</v>
      </c>
      <c r="U101" s="6">
        <v>114.051</v>
      </c>
      <c r="V101" s="6">
        <v>30.477</v>
      </c>
      <c r="W101" s="6">
        <v>69.299</v>
      </c>
      <c r="X101" s="6">
        <v>14.252</v>
      </c>
      <c r="Y101" s="6">
        <v>91.5112796666667</v>
      </c>
      <c r="Z101" s="10">
        <f t="shared" si="2"/>
        <v>91.5112796666667</v>
      </c>
      <c r="AA101" s="11">
        <f t="shared" si="3"/>
        <v>0</v>
      </c>
      <c r="AB101" s="5" t="s">
        <v>389</v>
      </c>
    </row>
    <row r="102" spans="1:28">
      <c r="A102" s="5">
        <v>6</v>
      </c>
      <c r="B102" s="5" t="s">
        <v>246</v>
      </c>
      <c r="C102" s="5" t="s">
        <v>268</v>
      </c>
      <c r="D102" s="5">
        <v>1</v>
      </c>
      <c r="E102" s="6">
        <v>97.37</v>
      </c>
      <c r="F102" s="6">
        <v>72.22</v>
      </c>
      <c r="G102" s="6">
        <v>82.93</v>
      </c>
      <c r="H102" s="6">
        <v>100</v>
      </c>
      <c r="I102" s="6">
        <v>25</v>
      </c>
      <c r="J102" s="6">
        <v>40</v>
      </c>
      <c r="K102" s="6">
        <v>78.235158</v>
      </c>
      <c r="L102" s="7">
        <v>0.890184</v>
      </c>
      <c r="M102" s="7">
        <v>0.590136</v>
      </c>
      <c r="N102" s="7">
        <v>1</v>
      </c>
      <c r="O102" s="6">
        <v>310.041</v>
      </c>
      <c r="P102" s="8">
        <v>0.30789</v>
      </c>
      <c r="Q102" s="9">
        <v>98524</v>
      </c>
      <c r="R102" s="9">
        <v>115972</v>
      </c>
      <c r="S102" s="9">
        <v>214496</v>
      </c>
      <c r="T102" s="6">
        <v>310.041</v>
      </c>
      <c r="U102" s="6">
        <v>480.051</v>
      </c>
      <c r="V102" s="6">
        <v>169.974</v>
      </c>
      <c r="W102" s="6">
        <v>276.909</v>
      </c>
      <c r="X102" s="6">
        <v>33.132</v>
      </c>
      <c r="Y102" s="6">
        <v>67.0550526666667</v>
      </c>
      <c r="Z102" s="10">
        <f t="shared" si="2"/>
        <v>67.0550526666667</v>
      </c>
      <c r="AA102" s="11">
        <f t="shared" si="3"/>
        <v>0</v>
      </c>
      <c r="AB102" s="5" t="s">
        <v>390</v>
      </c>
    </row>
    <row r="103" spans="1:28">
      <c r="A103" s="5">
        <v>6</v>
      </c>
      <c r="B103" s="5" t="s">
        <v>246</v>
      </c>
      <c r="C103" s="5" t="s">
        <v>268</v>
      </c>
      <c r="D103" s="5">
        <v>2</v>
      </c>
      <c r="E103" s="6">
        <v>91.67</v>
      </c>
      <c r="F103" s="6">
        <v>82.93</v>
      </c>
      <c r="G103" s="6">
        <v>87.08</v>
      </c>
      <c r="H103" s="6">
        <v>100</v>
      </c>
      <c r="I103" s="6">
        <v>19.048</v>
      </c>
      <c r="J103" s="6">
        <v>32</v>
      </c>
      <c r="K103" s="6">
        <v>76.678142</v>
      </c>
      <c r="L103" s="7">
        <v>0.963333</v>
      </c>
      <c r="M103" s="7">
        <v>0.512987</v>
      </c>
      <c r="N103" s="7">
        <v>1</v>
      </c>
      <c r="O103" s="6">
        <v>455.46</v>
      </c>
      <c r="P103" s="8">
        <v>0.3989343</v>
      </c>
      <c r="Q103" s="9">
        <v>135341</v>
      </c>
      <c r="R103" s="9">
        <v>149305</v>
      </c>
      <c r="S103" s="9">
        <v>284646</v>
      </c>
      <c r="T103" s="6">
        <v>455.46</v>
      </c>
      <c r="U103" s="6">
        <v>648.807</v>
      </c>
      <c r="V103" s="6">
        <v>193.293</v>
      </c>
      <c r="W103" s="6">
        <v>419.444</v>
      </c>
      <c r="X103" s="6">
        <v>36.016</v>
      </c>
      <c r="Y103" s="6">
        <v>65.252714</v>
      </c>
      <c r="Z103" s="10">
        <f t="shared" si="2"/>
        <v>65.252714</v>
      </c>
      <c r="AA103" s="11">
        <f t="shared" si="3"/>
        <v>0</v>
      </c>
      <c r="AB103" s="5" t="s">
        <v>391</v>
      </c>
    </row>
    <row r="104" spans="1:28">
      <c r="A104" s="5">
        <v>6</v>
      </c>
      <c r="B104" s="5" t="s">
        <v>246</v>
      </c>
      <c r="C104" s="5" t="s">
        <v>268</v>
      </c>
      <c r="D104" s="5">
        <v>3</v>
      </c>
      <c r="E104" s="6">
        <v>100</v>
      </c>
      <c r="F104" s="6">
        <v>46.34</v>
      </c>
      <c r="G104" s="6">
        <v>63.33</v>
      </c>
      <c r="H104" s="6">
        <v>100</v>
      </c>
      <c r="I104" s="6">
        <v>25</v>
      </c>
      <c r="J104" s="6">
        <v>40</v>
      </c>
      <c r="K104" s="6">
        <v>75.451086</v>
      </c>
      <c r="L104" s="7">
        <v>0.947933</v>
      </c>
      <c r="M104" s="7">
        <v>0.461984</v>
      </c>
      <c r="N104" s="7">
        <v>1</v>
      </c>
      <c r="O104" s="6">
        <v>595.254</v>
      </c>
      <c r="P104" s="8">
        <v>0.4716261</v>
      </c>
      <c r="Q104" s="9">
        <v>166623</v>
      </c>
      <c r="R104" s="9">
        <v>175683</v>
      </c>
      <c r="S104" s="9">
        <v>342306</v>
      </c>
      <c r="T104" s="6">
        <v>595.254</v>
      </c>
      <c r="U104" s="6">
        <v>790.406</v>
      </c>
      <c r="V104" s="6">
        <v>195.116</v>
      </c>
      <c r="W104" s="6">
        <v>557.981</v>
      </c>
      <c r="X104" s="6">
        <v>37.273</v>
      </c>
      <c r="Y104" s="6">
        <v>59.5936953333333</v>
      </c>
      <c r="Z104" s="10">
        <f t="shared" si="2"/>
        <v>59.5936953333333</v>
      </c>
      <c r="AA104" s="11">
        <f t="shared" si="3"/>
        <v>0</v>
      </c>
      <c r="AB104" s="5" t="s">
        <v>392</v>
      </c>
    </row>
    <row r="105" spans="1:28">
      <c r="A105" s="5">
        <v>6</v>
      </c>
      <c r="B105" s="5" t="s">
        <v>246</v>
      </c>
      <c r="C105" s="5" t="s">
        <v>268</v>
      </c>
      <c r="D105" s="5">
        <v>4</v>
      </c>
      <c r="E105" s="6">
        <v>93.94</v>
      </c>
      <c r="F105" s="6">
        <v>62</v>
      </c>
      <c r="G105" s="6">
        <v>74.7</v>
      </c>
      <c r="H105" s="6">
        <v>100</v>
      </c>
      <c r="I105" s="6">
        <v>21.212</v>
      </c>
      <c r="J105" s="6">
        <v>35</v>
      </c>
      <c r="K105" s="6">
        <v>75.828764</v>
      </c>
      <c r="L105" s="7">
        <v>0.954759</v>
      </c>
      <c r="M105" s="7">
        <v>0.484647</v>
      </c>
      <c r="N105" s="7">
        <v>0.995546</v>
      </c>
      <c r="O105" s="6">
        <v>792.575</v>
      </c>
      <c r="P105" s="8">
        <v>0.6396525</v>
      </c>
      <c r="Q105" s="9">
        <v>218855</v>
      </c>
      <c r="R105" s="9">
        <v>239165</v>
      </c>
      <c r="S105" s="9">
        <v>458020</v>
      </c>
      <c r="T105" s="6">
        <v>792.575</v>
      </c>
      <c r="U105" s="6">
        <v>985.396</v>
      </c>
      <c r="V105" s="6">
        <v>192.779</v>
      </c>
      <c r="W105" s="6">
        <v>752.15</v>
      </c>
      <c r="X105" s="6">
        <v>40.425</v>
      </c>
      <c r="Y105" s="6">
        <v>61.8429213333333</v>
      </c>
      <c r="Z105" s="10">
        <f t="shared" si="2"/>
        <v>61.8429213333333</v>
      </c>
      <c r="AA105" s="11">
        <f t="shared" si="3"/>
        <v>0</v>
      </c>
      <c r="AB105" s="5" t="s">
        <v>393</v>
      </c>
    </row>
    <row r="106" spans="1:28">
      <c r="A106" s="5">
        <v>6</v>
      </c>
      <c r="B106" s="5" t="s">
        <v>246</v>
      </c>
      <c r="C106" s="5" t="s">
        <v>268</v>
      </c>
      <c r="D106" s="5">
        <v>5</v>
      </c>
      <c r="E106" s="6">
        <v>90.91</v>
      </c>
      <c r="F106" s="6">
        <v>95.24</v>
      </c>
      <c r="G106" s="6">
        <v>93.02</v>
      </c>
      <c r="H106" s="6">
        <v>94.118</v>
      </c>
      <c r="I106" s="6">
        <v>43.243</v>
      </c>
      <c r="J106" s="6">
        <v>59.259</v>
      </c>
      <c r="K106" s="6">
        <v>74.64257</v>
      </c>
      <c r="L106" s="7">
        <v>0.947139</v>
      </c>
      <c r="M106" s="7">
        <v>0.418121</v>
      </c>
      <c r="N106" s="7">
        <v>1</v>
      </c>
      <c r="O106" s="6">
        <v>338.949</v>
      </c>
      <c r="P106" s="8">
        <v>0.3450462</v>
      </c>
      <c r="Q106" s="9">
        <v>145826</v>
      </c>
      <c r="R106" s="9">
        <v>125541</v>
      </c>
      <c r="S106" s="9">
        <v>271367</v>
      </c>
      <c r="T106" s="6">
        <v>338.949</v>
      </c>
      <c r="U106" s="6">
        <v>543.333</v>
      </c>
      <c r="V106" s="6">
        <v>204.351</v>
      </c>
      <c r="W106" s="6">
        <v>299.73</v>
      </c>
      <c r="X106" s="6">
        <v>39.219</v>
      </c>
      <c r="Y106" s="6">
        <v>75.6405233333333</v>
      </c>
      <c r="Z106" s="10">
        <f t="shared" si="2"/>
        <v>75.6405233333333</v>
      </c>
      <c r="AA106" s="11">
        <f t="shared" si="3"/>
        <v>0</v>
      </c>
      <c r="AB106" s="5" t="s">
        <v>394</v>
      </c>
    </row>
    <row r="107" spans="1:28">
      <c r="A107" s="5">
        <v>6</v>
      </c>
      <c r="B107" s="5" t="s">
        <v>246</v>
      </c>
      <c r="C107" s="5" t="s">
        <v>268</v>
      </c>
      <c r="D107" s="5">
        <v>6</v>
      </c>
      <c r="E107" s="6">
        <v>94.55</v>
      </c>
      <c r="F107" s="6">
        <v>84.13</v>
      </c>
      <c r="G107" s="6">
        <v>89.03</v>
      </c>
      <c r="H107" s="6">
        <v>85</v>
      </c>
      <c r="I107" s="6">
        <v>70.833</v>
      </c>
      <c r="J107" s="6">
        <v>77.273</v>
      </c>
      <c r="K107" s="6">
        <v>74.729283</v>
      </c>
      <c r="L107" s="7">
        <v>0.959314</v>
      </c>
      <c r="M107" s="7">
        <v>0.415808</v>
      </c>
      <c r="N107" s="7">
        <v>1</v>
      </c>
      <c r="O107" s="6">
        <v>585.836</v>
      </c>
      <c r="P107" s="8">
        <v>0.4930974</v>
      </c>
      <c r="Q107" s="9">
        <v>139866</v>
      </c>
      <c r="R107" s="9">
        <v>187974</v>
      </c>
      <c r="S107" s="9">
        <v>327840</v>
      </c>
      <c r="T107" s="6">
        <v>585.836</v>
      </c>
      <c r="U107" s="6">
        <v>774.766</v>
      </c>
      <c r="V107" s="6">
        <v>188.87</v>
      </c>
      <c r="W107" s="6">
        <v>545.337</v>
      </c>
      <c r="X107" s="6">
        <v>40.499</v>
      </c>
      <c r="Y107" s="6">
        <v>80.3440943333333</v>
      </c>
      <c r="Z107" s="10">
        <f t="shared" si="2"/>
        <v>80.3440943333333</v>
      </c>
      <c r="AA107" s="11">
        <f t="shared" si="3"/>
        <v>0</v>
      </c>
      <c r="AB107" s="5" t="s">
        <v>395</v>
      </c>
    </row>
    <row r="108" spans="1:28">
      <c r="A108" s="5">
        <v>6</v>
      </c>
      <c r="B108" s="5" t="s">
        <v>246</v>
      </c>
      <c r="C108" s="5" t="s">
        <v>268</v>
      </c>
      <c r="D108" s="5">
        <v>8</v>
      </c>
      <c r="E108" s="6">
        <v>86.42</v>
      </c>
      <c r="F108" s="6">
        <v>79.12</v>
      </c>
      <c r="G108" s="6">
        <v>82.61</v>
      </c>
      <c r="H108" s="6">
        <v>93.75</v>
      </c>
      <c r="I108" s="6">
        <v>83.333</v>
      </c>
      <c r="J108" s="6">
        <v>88.235</v>
      </c>
      <c r="K108" s="6">
        <v>76.274684</v>
      </c>
      <c r="L108" s="7">
        <v>0.9675</v>
      </c>
      <c r="M108" s="7">
        <v>0.506328</v>
      </c>
      <c r="N108" s="7">
        <v>1</v>
      </c>
      <c r="O108" s="6">
        <v>467.812</v>
      </c>
      <c r="P108" s="8">
        <v>0.369735</v>
      </c>
      <c r="Q108" s="9">
        <v>118474</v>
      </c>
      <c r="R108" s="9">
        <v>139247</v>
      </c>
      <c r="S108" s="9">
        <v>257721</v>
      </c>
      <c r="T108" s="6">
        <v>467.812</v>
      </c>
      <c r="U108" s="6">
        <v>649.107</v>
      </c>
      <c r="V108" s="6">
        <v>181.167</v>
      </c>
      <c r="W108" s="6">
        <v>429.006</v>
      </c>
      <c r="X108" s="6">
        <v>38.806</v>
      </c>
      <c r="Y108" s="6">
        <v>82.373228</v>
      </c>
      <c r="Z108" s="10">
        <f t="shared" si="2"/>
        <v>82.373228</v>
      </c>
      <c r="AA108" s="11">
        <f t="shared" si="3"/>
        <v>0</v>
      </c>
      <c r="AB108" s="5" t="s">
        <v>396</v>
      </c>
    </row>
    <row r="109" spans="1:28">
      <c r="A109" s="5">
        <v>6</v>
      </c>
      <c r="B109" s="5" t="s">
        <v>246</v>
      </c>
      <c r="C109" s="5" t="s">
        <v>268</v>
      </c>
      <c r="D109" s="5">
        <v>9</v>
      </c>
      <c r="E109" s="6">
        <v>100</v>
      </c>
      <c r="F109" s="6">
        <v>64.71</v>
      </c>
      <c r="G109" s="6">
        <v>78.57</v>
      </c>
      <c r="H109" s="6">
        <v>100</v>
      </c>
      <c r="I109" s="6">
        <v>56.667</v>
      </c>
      <c r="J109" s="6">
        <v>72.34</v>
      </c>
      <c r="K109" s="6">
        <v>85.732809</v>
      </c>
      <c r="L109" s="7">
        <v>0.948475</v>
      </c>
      <c r="M109" s="7">
        <v>0.630944</v>
      </c>
      <c r="N109" s="7">
        <v>1</v>
      </c>
      <c r="O109" s="6">
        <v>748.372</v>
      </c>
      <c r="P109" s="8">
        <v>0.5812653</v>
      </c>
      <c r="Q109" s="9">
        <v>213751</v>
      </c>
      <c r="R109" s="9">
        <v>215475</v>
      </c>
      <c r="S109" s="9">
        <v>429226</v>
      </c>
      <c r="T109" s="6">
        <v>748.372</v>
      </c>
      <c r="U109" s="6">
        <v>932.621</v>
      </c>
      <c r="V109" s="6">
        <v>184.21</v>
      </c>
      <c r="W109" s="6">
        <v>708.184</v>
      </c>
      <c r="X109" s="6">
        <v>40.188</v>
      </c>
      <c r="Y109" s="6">
        <v>78.8809363333333</v>
      </c>
      <c r="Z109" s="10">
        <f t="shared" si="2"/>
        <v>78.8809363333333</v>
      </c>
      <c r="AA109" s="11">
        <f t="shared" si="3"/>
        <v>0</v>
      </c>
      <c r="AB109" s="5" t="s">
        <v>397</v>
      </c>
    </row>
    <row r="110" spans="1:28">
      <c r="A110" s="5">
        <v>6</v>
      </c>
      <c r="B110" s="5" t="s">
        <v>246</v>
      </c>
      <c r="C110" s="5" t="s">
        <v>268</v>
      </c>
      <c r="D110" s="5">
        <v>10</v>
      </c>
      <c r="E110" s="6">
        <v>83.33</v>
      </c>
      <c r="F110" s="6">
        <v>90.91</v>
      </c>
      <c r="G110" s="6">
        <v>86.96</v>
      </c>
      <c r="H110" s="6">
        <v>50</v>
      </c>
      <c r="I110" s="6">
        <v>57.143</v>
      </c>
      <c r="J110" s="6">
        <v>53.333</v>
      </c>
      <c r="K110" s="6">
        <v>83.341182</v>
      </c>
      <c r="L110" s="7">
        <v>0.97976</v>
      </c>
      <c r="M110" s="7">
        <v>0.57303</v>
      </c>
      <c r="N110" s="7">
        <v>0.974522</v>
      </c>
      <c r="O110" s="6">
        <v>634.936</v>
      </c>
      <c r="P110" s="8">
        <v>0.5196957</v>
      </c>
      <c r="Q110" s="9">
        <v>219047</v>
      </c>
      <c r="R110" s="9">
        <v>189159</v>
      </c>
      <c r="S110" s="9">
        <v>408206</v>
      </c>
      <c r="T110" s="6">
        <v>634.936</v>
      </c>
      <c r="U110" s="6">
        <v>828.467</v>
      </c>
      <c r="V110" s="6">
        <v>193.493</v>
      </c>
      <c r="W110" s="6">
        <v>595.507</v>
      </c>
      <c r="X110" s="6">
        <v>39.429</v>
      </c>
      <c r="Y110" s="6">
        <v>74.5447273333333</v>
      </c>
      <c r="Z110" s="10">
        <f t="shared" si="2"/>
        <v>74.5447273333333</v>
      </c>
      <c r="AA110" s="11">
        <f t="shared" si="3"/>
        <v>0</v>
      </c>
      <c r="AB110" s="5" t="s">
        <v>398</v>
      </c>
    </row>
    <row r="111" spans="1:28">
      <c r="A111" s="5">
        <v>6</v>
      </c>
      <c r="B111" s="5" t="s">
        <v>246</v>
      </c>
      <c r="C111" s="5" t="s">
        <v>268</v>
      </c>
      <c r="D111" s="5">
        <v>12</v>
      </c>
      <c r="E111" s="6">
        <v>92.21</v>
      </c>
      <c r="F111" s="6">
        <v>83.87</v>
      </c>
      <c r="G111" s="6">
        <v>87.84</v>
      </c>
      <c r="H111" s="6">
        <v>93.75</v>
      </c>
      <c r="I111" s="6">
        <v>88.235</v>
      </c>
      <c r="J111" s="6">
        <v>90.909</v>
      </c>
      <c r="K111" s="6">
        <v>90.162975</v>
      </c>
      <c r="L111" s="7">
        <v>0.942728</v>
      </c>
      <c r="M111" s="7">
        <v>0.921333</v>
      </c>
      <c r="N111" s="7">
        <v>0.834532</v>
      </c>
      <c r="O111" s="6">
        <v>481.116</v>
      </c>
      <c r="P111" s="8">
        <v>0.4838163</v>
      </c>
      <c r="Q111" s="9">
        <v>200065</v>
      </c>
      <c r="R111" s="9">
        <v>176582</v>
      </c>
      <c r="S111" s="9">
        <v>376647</v>
      </c>
      <c r="T111" s="6">
        <v>481.116</v>
      </c>
      <c r="U111" s="6">
        <v>808.607</v>
      </c>
      <c r="V111" s="6">
        <v>327.465</v>
      </c>
      <c r="W111" s="6">
        <v>376.774</v>
      </c>
      <c r="X111" s="6">
        <v>104.342</v>
      </c>
      <c r="Y111" s="6">
        <v>89.637325</v>
      </c>
      <c r="Z111" s="10">
        <f t="shared" si="2"/>
        <v>89.637325</v>
      </c>
      <c r="AA111" s="11">
        <f t="shared" si="3"/>
        <v>0</v>
      </c>
      <c r="AB111" s="5" t="s">
        <v>399</v>
      </c>
    </row>
    <row r="112" spans="1:28">
      <c r="A112" s="5">
        <v>6</v>
      </c>
      <c r="B112" s="5" t="s">
        <v>246</v>
      </c>
      <c r="C112" s="5" t="s">
        <v>268</v>
      </c>
      <c r="D112" s="5">
        <v>20</v>
      </c>
      <c r="E112" s="6">
        <v>97.17</v>
      </c>
      <c r="F112" s="6">
        <v>86.29</v>
      </c>
      <c r="G112" s="6">
        <v>91.41</v>
      </c>
      <c r="H112" s="6">
        <v>90.909</v>
      </c>
      <c r="I112" s="6">
        <v>96.774</v>
      </c>
      <c r="J112" s="6">
        <v>93.75</v>
      </c>
      <c r="K112" s="6">
        <v>90.041628</v>
      </c>
      <c r="L112" s="7">
        <v>0.958386</v>
      </c>
      <c r="M112" s="7">
        <v>0.907594</v>
      </c>
      <c r="N112" s="7">
        <v>0.821355</v>
      </c>
      <c r="O112" s="6">
        <v>826.939</v>
      </c>
      <c r="P112" s="8">
        <v>0.6553362</v>
      </c>
      <c r="Q112" s="9">
        <v>198158</v>
      </c>
      <c r="R112" s="9">
        <v>248287</v>
      </c>
      <c r="S112" s="9">
        <v>446445</v>
      </c>
      <c r="T112" s="6">
        <v>826.939</v>
      </c>
      <c r="U112" s="6">
        <v>1144.878</v>
      </c>
      <c r="V112" s="6">
        <v>317.907</v>
      </c>
      <c r="W112" s="6">
        <v>734.519</v>
      </c>
      <c r="X112" s="6">
        <v>92.42</v>
      </c>
      <c r="Y112" s="6">
        <v>91.733876</v>
      </c>
      <c r="Z112" s="10">
        <f t="shared" si="2"/>
        <v>91.733876</v>
      </c>
      <c r="AA112" s="11">
        <f t="shared" si="3"/>
        <v>0</v>
      </c>
      <c r="AB112" s="5" t="s">
        <v>400</v>
      </c>
    </row>
    <row r="113" spans="1:28">
      <c r="A113" s="5">
        <v>6</v>
      </c>
      <c r="B113" s="5" t="s">
        <v>246</v>
      </c>
      <c r="C113" s="5" t="s">
        <v>268</v>
      </c>
      <c r="D113" s="5">
        <v>22</v>
      </c>
      <c r="E113" s="6">
        <v>90.91</v>
      </c>
      <c r="F113" s="6">
        <v>84.75</v>
      </c>
      <c r="G113" s="6">
        <v>87.72</v>
      </c>
      <c r="H113" s="6">
        <v>100</v>
      </c>
      <c r="I113" s="6">
        <v>100</v>
      </c>
      <c r="J113" s="6">
        <v>100</v>
      </c>
      <c r="K113" s="6">
        <v>90.894687</v>
      </c>
      <c r="L113" s="7">
        <v>0.967638</v>
      </c>
      <c r="M113" s="7">
        <v>0.959801</v>
      </c>
      <c r="N113" s="7">
        <v>0.834061</v>
      </c>
      <c r="O113" s="6">
        <v>489.033</v>
      </c>
      <c r="P113" s="8">
        <v>0.4796871</v>
      </c>
      <c r="Q113" s="9">
        <v>180621</v>
      </c>
      <c r="R113" s="9">
        <v>177292</v>
      </c>
      <c r="S113" s="9">
        <v>357913</v>
      </c>
      <c r="T113" s="6">
        <v>489.033</v>
      </c>
      <c r="U113" s="6">
        <v>817.054</v>
      </c>
      <c r="V113" s="6">
        <v>327.998</v>
      </c>
      <c r="W113" s="6">
        <v>378.781</v>
      </c>
      <c r="X113" s="6">
        <v>110.252</v>
      </c>
      <c r="Y113" s="6">
        <v>92.8715623333333</v>
      </c>
      <c r="Z113" s="10">
        <f t="shared" si="2"/>
        <v>92.8715623333333</v>
      </c>
      <c r="AA113" s="11">
        <f t="shared" si="3"/>
        <v>0</v>
      </c>
      <c r="AB113" s="5" t="s">
        <v>401</v>
      </c>
    </row>
    <row r="114" spans="1:28">
      <c r="A114" s="5">
        <v>6</v>
      </c>
      <c r="B114" s="5" t="s">
        <v>246</v>
      </c>
      <c r="C114" s="5" t="s">
        <v>268</v>
      </c>
      <c r="D114" s="5">
        <v>24</v>
      </c>
      <c r="E114" s="6">
        <v>92.59</v>
      </c>
      <c r="F114" s="6">
        <v>70.27</v>
      </c>
      <c r="G114" s="6">
        <v>79.9</v>
      </c>
      <c r="H114" s="6">
        <v>61.538</v>
      </c>
      <c r="I114" s="6">
        <v>32</v>
      </c>
      <c r="J114" s="6">
        <v>42.105</v>
      </c>
      <c r="K114" s="6">
        <v>96.845037</v>
      </c>
      <c r="L114" s="7">
        <v>0.964237</v>
      </c>
      <c r="M114" s="7">
        <v>0.88711</v>
      </c>
      <c r="N114" s="7">
        <v>0.988732</v>
      </c>
      <c r="O114" s="6">
        <v>590.536</v>
      </c>
      <c r="P114" s="8">
        <v>0.639339</v>
      </c>
      <c r="Q114" s="9">
        <v>243074</v>
      </c>
      <c r="R114" s="9">
        <v>236007</v>
      </c>
      <c r="S114" s="9">
        <v>479081</v>
      </c>
      <c r="T114" s="6">
        <v>590.536</v>
      </c>
      <c r="U114" s="6">
        <v>1010.218</v>
      </c>
      <c r="V114" s="6">
        <v>419.648</v>
      </c>
      <c r="W114" s="6">
        <v>542.576</v>
      </c>
      <c r="X114" s="6">
        <v>47.96</v>
      </c>
      <c r="Y114" s="6">
        <v>72.9500123333333</v>
      </c>
      <c r="Z114" s="10">
        <f t="shared" si="2"/>
        <v>72.9500123333333</v>
      </c>
      <c r="AA114" s="11">
        <f t="shared" si="3"/>
        <v>0</v>
      </c>
      <c r="AB114" s="5" t="s">
        <v>402</v>
      </c>
    </row>
    <row r="115" spans="1:28">
      <c r="A115" s="5">
        <v>6</v>
      </c>
      <c r="B115" s="5" t="s">
        <v>246</v>
      </c>
      <c r="C115" s="5" t="s">
        <v>268</v>
      </c>
      <c r="D115" s="5">
        <v>26</v>
      </c>
      <c r="E115" s="6">
        <v>96.74</v>
      </c>
      <c r="F115" s="6">
        <v>89.11</v>
      </c>
      <c r="G115" s="6">
        <v>92.77</v>
      </c>
      <c r="H115" s="6">
        <v>84.615</v>
      </c>
      <c r="I115" s="6">
        <v>88</v>
      </c>
      <c r="J115" s="6">
        <v>86.275</v>
      </c>
      <c r="K115" s="6">
        <v>90.820841</v>
      </c>
      <c r="L115" s="7">
        <v>0.945373</v>
      </c>
      <c r="M115" s="7">
        <v>0.822948</v>
      </c>
      <c r="N115" s="7">
        <v>0.934211</v>
      </c>
      <c r="O115" s="6">
        <v>709.665</v>
      </c>
      <c r="P115" s="8">
        <v>0.6061947</v>
      </c>
      <c r="Q115" s="9">
        <v>182369</v>
      </c>
      <c r="R115" s="9">
        <v>229785</v>
      </c>
      <c r="S115" s="9">
        <v>412154</v>
      </c>
      <c r="T115" s="6">
        <v>709.665</v>
      </c>
      <c r="U115" s="6">
        <v>985.645</v>
      </c>
      <c r="V115" s="6">
        <v>275.947</v>
      </c>
      <c r="W115" s="6">
        <v>619.397</v>
      </c>
      <c r="X115" s="6">
        <v>90.268</v>
      </c>
      <c r="Y115" s="6">
        <v>89.9552803333333</v>
      </c>
      <c r="Z115" s="10">
        <f t="shared" si="2"/>
        <v>89.9552803333333</v>
      </c>
      <c r="AA115" s="11">
        <f t="shared" si="3"/>
        <v>0</v>
      </c>
      <c r="AB115" s="5" t="s">
        <v>403</v>
      </c>
    </row>
    <row r="116" spans="1:28">
      <c r="A116" s="5">
        <v>6</v>
      </c>
      <c r="B116" s="5" t="s">
        <v>246</v>
      </c>
      <c r="C116" s="5" t="s">
        <v>268</v>
      </c>
      <c r="D116" s="5">
        <v>29</v>
      </c>
      <c r="E116" s="6">
        <v>93.33</v>
      </c>
      <c r="F116" s="6">
        <v>84.51</v>
      </c>
      <c r="G116" s="6">
        <v>88.7</v>
      </c>
      <c r="H116" s="6">
        <v>88.889</v>
      </c>
      <c r="I116" s="6">
        <v>100</v>
      </c>
      <c r="J116" s="6">
        <v>94.118</v>
      </c>
      <c r="K116" s="6">
        <v>92.399544</v>
      </c>
      <c r="L116" s="7">
        <v>0.956528</v>
      </c>
      <c r="M116" s="7">
        <v>0.749263</v>
      </c>
      <c r="N116" s="7">
        <v>0.997222</v>
      </c>
      <c r="O116" s="6">
        <v>597.838</v>
      </c>
      <c r="P116" s="8">
        <v>0.5928312</v>
      </c>
      <c r="Q116" s="9">
        <v>205072</v>
      </c>
      <c r="R116" s="9">
        <v>221379</v>
      </c>
      <c r="S116" s="9">
        <v>426451</v>
      </c>
      <c r="T116" s="6">
        <v>597.838</v>
      </c>
      <c r="U116" s="6">
        <v>1023.868</v>
      </c>
      <c r="V116" s="6">
        <v>426</v>
      </c>
      <c r="W116" s="6">
        <v>551.971</v>
      </c>
      <c r="X116" s="6">
        <v>45.867</v>
      </c>
      <c r="Y116" s="6">
        <v>91.7391813333333</v>
      </c>
      <c r="Z116" s="10">
        <f t="shared" si="2"/>
        <v>91.7391813333333</v>
      </c>
      <c r="AA116" s="11">
        <f t="shared" si="3"/>
        <v>0</v>
      </c>
      <c r="AB116" s="5" t="s">
        <v>404</v>
      </c>
    </row>
    <row r="117" spans="1:28">
      <c r="A117" s="5">
        <v>6</v>
      </c>
      <c r="B117" s="5" t="s">
        <v>246</v>
      </c>
      <c r="C117" s="5" t="s">
        <v>268</v>
      </c>
      <c r="D117" s="5">
        <v>44</v>
      </c>
      <c r="E117" s="6">
        <v>100</v>
      </c>
      <c r="F117" s="6">
        <v>82.54</v>
      </c>
      <c r="G117" s="6">
        <v>90.43</v>
      </c>
      <c r="H117" s="6">
        <v>72.308</v>
      </c>
      <c r="I117" s="6">
        <v>88.679</v>
      </c>
      <c r="J117" s="6">
        <v>79.661</v>
      </c>
      <c r="K117" s="6">
        <v>85.007485</v>
      </c>
      <c r="L117" s="7">
        <v>0.948341</v>
      </c>
      <c r="M117" s="7">
        <v>0.64597</v>
      </c>
      <c r="N117" s="7">
        <v>0.995536</v>
      </c>
      <c r="O117" s="6">
        <v>816.834</v>
      </c>
      <c r="P117" s="8">
        <v>0.7378923</v>
      </c>
      <c r="Q117" s="9">
        <v>214489</v>
      </c>
      <c r="R117" s="9">
        <v>280644</v>
      </c>
      <c r="S117" s="9">
        <v>495133</v>
      </c>
      <c r="T117" s="6">
        <v>816.834</v>
      </c>
      <c r="U117" s="6">
        <v>1237.917</v>
      </c>
      <c r="V117" s="6">
        <v>421.053</v>
      </c>
      <c r="W117" s="6">
        <v>771.573</v>
      </c>
      <c r="X117" s="6">
        <v>45.261</v>
      </c>
      <c r="Y117" s="6">
        <v>85.0328283333333</v>
      </c>
      <c r="Z117" s="10">
        <f t="shared" si="2"/>
        <v>85.0328283333333</v>
      </c>
      <c r="AA117" s="11">
        <f t="shared" si="3"/>
        <v>0</v>
      </c>
      <c r="AB117" s="5" t="s">
        <v>405</v>
      </c>
    </row>
    <row r="118" spans="1:28">
      <c r="A118" s="5">
        <v>6</v>
      </c>
      <c r="B118" s="5" t="s">
        <v>246</v>
      </c>
      <c r="C118" s="5" t="s">
        <v>268</v>
      </c>
      <c r="D118" s="5">
        <v>52</v>
      </c>
      <c r="E118" s="6">
        <v>90.14</v>
      </c>
      <c r="F118" s="6">
        <v>82.05</v>
      </c>
      <c r="G118" s="6">
        <v>85.91</v>
      </c>
      <c r="H118" s="6">
        <v>72.414</v>
      </c>
      <c r="I118" s="6">
        <v>87.5</v>
      </c>
      <c r="J118" s="6">
        <v>79.245</v>
      </c>
      <c r="K118" s="6">
        <v>89.661527</v>
      </c>
      <c r="L118" s="7">
        <v>0.841974</v>
      </c>
      <c r="M118" s="7">
        <v>0.832271</v>
      </c>
      <c r="N118" s="7">
        <v>0.9599</v>
      </c>
      <c r="O118" s="6">
        <v>655.148</v>
      </c>
      <c r="P118" s="8">
        <v>0.5561931</v>
      </c>
      <c r="Q118" s="9">
        <v>161745</v>
      </c>
      <c r="R118" s="9">
        <v>211529</v>
      </c>
      <c r="S118" s="9">
        <v>373274</v>
      </c>
      <c r="T118" s="6">
        <v>655.148</v>
      </c>
      <c r="U118" s="6">
        <v>954.083</v>
      </c>
      <c r="V118" s="6">
        <v>298.908</v>
      </c>
      <c r="W118" s="6">
        <v>571.979</v>
      </c>
      <c r="X118" s="6">
        <v>83.169</v>
      </c>
      <c r="Y118" s="6">
        <v>84.9388423333333</v>
      </c>
      <c r="Z118" s="10">
        <f t="shared" si="2"/>
        <v>84.9388423333333</v>
      </c>
      <c r="AA118" s="11">
        <f t="shared" si="3"/>
        <v>0</v>
      </c>
      <c r="AB118" s="5" t="s">
        <v>406</v>
      </c>
    </row>
    <row r="119" spans="1:28">
      <c r="A119" s="5">
        <v>6</v>
      </c>
      <c r="B119" s="5" t="s">
        <v>246</v>
      </c>
      <c r="C119" s="5" t="s">
        <v>268</v>
      </c>
      <c r="D119" s="5">
        <v>53</v>
      </c>
      <c r="E119" s="6">
        <v>94.74</v>
      </c>
      <c r="F119" s="6">
        <v>90.32</v>
      </c>
      <c r="G119" s="6">
        <v>92.48</v>
      </c>
      <c r="H119" s="6">
        <v>92.857</v>
      </c>
      <c r="I119" s="6">
        <v>83.871</v>
      </c>
      <c r="J119" s="6">
        <v>88.136</v>
      </c>
      <c r="K119" s="6">
        <v>92.130967</v>
      </c>
      <c r="L119" s="7">
        <v>0.93572</v>
      </c>
      <c r="M119" s="7">
        <v>0.916587</v>
      </c>
      <c r="N119" s="7">
        <v>0.877133</v>
      </c>
      <c r="O119" s="6">
        <v>530.806</v>
      </c>
      <c r="P119" s="8">
        <v>0.4754682</v>
      </c>
      <c r="Q119" s="9">
        <v>170214</v>
      </c>
      <c r="R119" s="9">
        <v>176835</v>
      </c>
      <c r="S119" s="9">
        <v>347049</v>
      </c>
      <c r="T119" s="6">
        <v>530.806</v>
      </c>
      <c r="U119" s="6">
        <v>831.095</v>
      </c>
      <c r="V119" s="6">
        <v>300.242</v>
      </c>
      <c r="W119" s="6">
        <v>442.276</v>
      </c>
      <c r="X119" s="6">
        <v>88.53</v>
      </c>
      <c r="Y119" s="6">
        <v>90.9156556666667</v>
      </c>
      <c r="Z119" s="10">
        <f t="shared" si="2"/>
        <v>90.9156556666667</v>
      </c>
      <c r="AA119" s="11">
        <f t="shared" si="3"/>
        <v>0</v>
      </c>
      <c r="AB119" s="5" t="s">
        <v>407</v>
      </c>
    </row>
    <row r="120" spans="1:28">
      <c r="A120" s="5">
        <v>6</v>
      </c>
      <c r="B120" s="5" t="s">
        <v>246</v>
      </c>
      <c r="C120" s="5" t="s">
        <v>268</v>
      </c>
      <c r="D120" s="5">
        <v>145</v>
      </c>
      <c r="E120" s="6">
        <v>91.43</v>
      </c>
      <c r="F120" s="6">
        <v>89.47</v>
      </c>
      <c r="G120" s="6">
        <v>90.44</v>
      </c>
      <c r="H120" s="6">
        <v>93.75</v>
      </c>
      <c r="I120" s="6">
        <v>78.947</v>
      </c>
      <c r="J120" s="6">
        <v>85.714</v>
      </c>
      <c r="K120" s="6">
        <v>88.998042</v>
      </c>
      <c r="L120" s="7">
        <v>0.921804</v>
      </c>
      <c r="M120" s="7">
        <v>0.90068</v>
      </c>
      <c r="N120" s="7">
        <v>0.841743</v>
      </c>
      <c r="O120" s="6">
        <v>673.247</v>
      </c>
      <c r="P120" s="8">
        <v>0.5465238</v>
      </c>
      <c r="Q120" s="9">
        <v>193434</v>
      </c>
      <c r="R120" s="9">
        <v>203539</v>
      </c>
      <c r="S120" s="9">
        <v>396973</v>
      </c>
      <c r="T120" s="6">
        <v>673.247</v>
      </c>
      <c r="U120" s="6">
        <v>921.739</v>
      </c>
      <c r="V120" s="6">
        <v>248.465</v>
      </c>
      <c r="W120" s="6">
        <v>604.067</v>
      </c>
      <c r="X120" s="6">
        <v>69.18</v>
      </c>
      <c r="Y120" s="6">
        <v>88.384014</v>
      </c>
      <c r="Z120" s="10">
        <f t="shared" si="2"/>
        <v>88.384014</v>
      </c>
      <c r="AA120" s="11">
        <f t="shared" si="3"/>
        <v>0</v>
      </c>
      <c r="AB120" s="5" t="s">
        <v>408</v>
      </c>
    </row>
    <row r="121" spans="1:28">
      <c r="A121" s="5">
        <v>6</v>
      </c>
      <c r="B121" s="5" t="s">
        <v>246</v>
      </c>
      <c r="C121" s="5" t="s">
        <v>268</v>
      </c>
      <c r="D121" s="5">
        <v>147</v>
      </c>
      <c r="E121" s="6">
        <v>84.62</v>
      </c>
      <c r="F121" s="6">
        <v>48.28</v>
      </c>
      <c r="G121" s="6">
        <v>61.48</v>
      </c>
      <c r="H121" s="6">
        <v>100</v>
      </c>
      <c r="I121" s="6">
        <v>82.353</v>
      </c>
      <c r="J121" s="6">
        <v>90.323</v>
      </c>
      <c r="K121" s="6">
        <v>93.819465</v>
      </c>
      <c r="L121" s="7">
        <v>0.899399</v>
      </c>
      <c r="M121" s="7">
        <v>0.831491</v>
      </c>
      <c r="N121" s="7">
        <v>0.995349</v>
      </c>
      <c r="O121" s="6">
        <v>471.075</v>
      </c>
      <c r="P121" s="8">
        <v>0.3151332</v>
      </c>
      <c r="Q121" s="9">
        <v>116612</v>
      </c>
      <c r="R121" s="9">
        <v>116729</v>
      </c>
      <c r="S121" s="9">
        <v>233341</v>
      </c>
      <c r="T121" s="6">
        <v>471.075</v>
      </c>
      <c r="U121" s="6">
        <v>693.206</v>
      </c>
      <c r="V121" s="6">
        <v>222.11</v>
      </c>
      <c r="W121" s="6">
        <v>427.422</v>
      </c>
      <c r="X121" s="6">
        <v>43.653</v>
      </c>
      <c r="Y121" s="6">
        <v>81.874155</v>
      </c>
      <c r="Z121" s="10">
        <f t="shared" si="2"/>
        <v>81.874155</v>
      </c>
      <c r="AA121" s="11">
        <f t="shared" si="3"/>
        <v>0</v>
      </c>
      <c r="AB121" s="5" t="s">
        <v>409</v>
      </c>
    </row>
    <row r="122" spans="1:28">
      <c r="A122" s="5">
        <v>7</v>
      </c>
      <c r="B122" s="5" t="s">
        <v>247</v>
      </c>
      <c r="C122" s="5" t="s">
        <v>269</v>
      </c>
      <c r="D122" s="5">
        <v>1</v>
      </c>
      <c r="E122" s="6">
        <v>100</v>
      </c>
      <c r="F122" s="6">
        <v>64.81</v>
      </c>
      <c r="G122" s="6">
        <v>78.65</v>
      </c>
      <c r="H122" s="6">
        <v>72.727</v>
      </c>
      <c r="I122" s="6">
        <v>100</v>
      </c>
      <c r="J122" s="6">
        <v>84.211</v>
      </c>
      <c r="K122" s="6">
        <v>78.370213</v>
      </c>
      <c r="L122" s="7">
        <v>0.920168</v>
      </c>
      <c r="M122" s="7">
        <v>0.656469</v>
      </c>
      <c r="N122" s="7">
        <v>0.831169</v>
      </c>
      <c r="O122" s="6">
        <v>862.878</v>
      </c>
      <c r="P122" s="8">
        <v>0.4025192</v>
      </c>
      <c r="Q122" s="9">
        <v>141354</v>
      </c>
      <c r="R122" s="9">
        <v>72359</v>
      </c>
      <c r="S122" s="9">
        <v>213713</v>
      </c>
      <c r="T122" s="6">
        <v>862.878</v>
      </c>
      <c r="U122" s="6">
        <v>1030.821</v>
      </c>
      <c r="V122" s="6">
        <v>167.914</v>
      </c>
      <c r="W122" s="6">
        <v>831.605</v>
      </c>
      <c r="X122" s="6">
        <v>31.273</v>
      </c>
      <c r="Y122" s="6">
        <v>80.4104043333333</v>
      </c>
      <c r="Z122" s="10">
        <f t="shared" si="2"/>
        <v>80.4104043333333</v>
      </c>
      <c r="AA122" s="11">
        <f t="shared" si="3"/>
        <v>0</v>
      </c>
      <c r="AB122" s="5" t="s">
        <v>410</v>
      </c>
    </row>
    <row r="123" spans="1:28">
      <c r="A123" s="5">
        <v>7</v>
      </c>
      <c r="B123" s="5" t="s">
        <v>247</v>
      </c>
      <c r="C123" s="5" t="s">
        <v>269</v>
      </c>
      <c r="D123" s="5">
        <v>2</v>
      </c>
      <c r="E123" s="6">
        <v>100</v>
      </c>
      <c r="F123" s="6">
        <v>85.37</v>
      </c>
      <c r="G123" s="6">
        <v>92.11</v>
      </c>
      <c r="H123" s="6">
        <v>90.476</v>
      </c>
      <c r="I123" s="6">
        <v>90.476</v>
      </c>
      <c r="J123" s="6">
        <v>90.476</v>
      </c>
      <c r="K123" s="6">
        <v>84.131193</v>
      </c>
      <c r="L123" s="7">
        <v>0.790033</v>
      </c>
      <c r="M123" s="7">
        <v>0.852132</v>
      </c>
      <c r="N123" s="7">
        <v>0.762846</v>
      </c>
      <c r="O123" s="6">
        <v>598.704</v>
      </c>
      <c r="P123" s="8">
        <v>0.3449264</v>
      </c>
      <c r="Q123" s="9">
        <v>163603</v>
      </c>
      <c r="R123" s="9">
        <v>53511</v>
      </c>
      <c r="S123" s="9">
        <v>217114</v>
      </c>
      <c r="T123" s="6">
        <v>598.704</v>
      </c>
      <c r="U123" s="6">
        <v>808.383</v>
      </c>
      <c r="V123" s="6">
        <v>209.653</v>
      </c>
      <c r="W123" s="6">
        <v>574.939</v>
      </c>
      <c r="X123" s="6">
        <v>23.765</v>
      </c>
      <c r="Y123" s="6">
        <v>88.905731</v>
      </c>
      <c r="Z123" s="10">
        <f t="shared" si="2"/>
        <v>88.905731</v>
      </c>
      <c r="AA123" s="11">
        <f t="shared" si="3"/>
        <v>0</v>
      </c>
      <c r="AB123" s="5" t="s">
        <v>411</v>
      </c>
    </row>
    <row r="124" spans="1:28">
      <c r="A124" s="5">
        <v>7</v>
      </c>
      <c r="B124" s="5" t="s">
        <v>247</v>
      </c>
      <c r="C124" s="5" t="s">
        <v>269</v>
      </c>
      <c r="D124" s="5">
        <v>3</v>
      </c>
      <c r="E124" s="6">
        <v>100</v>
      </c>
      <c r="F124" s="6">
        <v>51.22</v>
      </c>
      <c r="G124" s="6">
        <v>67.74</v>
      </c>
      <c r="H124" s="6">
        <v>100</v>
      </c>
      <c r="I124" s="6">
        <v>82.143</v>
      </c>
      <c r="J124" s="6">
        <v>90.196</v>
      </c>
      <c r="K124" s="6">
        <v>92.05914</v>
      </c>
      <c r="L124" s="7">
        <v>0.895068</v>
      </c>
      <c r="M124" s="7">
        <v>0.880022</v>
      </c>
      <c r="N124" s="7">
        <v>0.959276</v>
      </c>
      <c r="O124" s="6">
        <v>1220.144</v>
      </c>
      <c r="P124" s="8">
        <v>0.4966312</v>
      </c>
      <c r="Q124" s="9">
        <v>213474</v>
      </c>
      <c r="R124" s="9">
        <v>81463</v>
      </c>
      <c r="S124" s="9">
        <v>294937</v>
      </c>
      <c r="T124" s="6">
        <v>1220.144</v>
      </c>
      <c r="U124" s="6">
        <v>1396.426</v>
      </c>
      <c r="V124" s="6">
        <v>176.252</v>
      </c>
      <c r="W124" s="6">
        <v>1183.956</v>
      </c>
      <c r="X124" s="6">
        <v>36.188</v>
      </c>
      <c r="Y124" s="6">
        <v>83.3317133333333</v>
      </c>
      <c r="Z124" s="10">
        <f t="shared" si="2"/>
        <v>83.3317133333333</v>
      </c>
      <c r="AA124" s="11">
        <f t="shared" si="3"/>
        <v>0</v>
      </c>
      <c r="AB124" s="5" t="s">
        <v>412</v>
      </c>
    </row>
    <row r="125" spans="1:28">
      <c r="A125" s="5">
        <v>7</v>
      </c>
      <c r="B125" s="5" t="s">
        <v>247</v>
      </c>
      <c r="C125" s="5" t="s">
        <v>269</v>
      </c>
      <c r="D125" s="5">
        <v>4</v>
      </c>
      <c r="E125" s="6">
        <v>100</v>
      </c>
      <c r="F125" s="6">
        <v>54</v>
      </c>
      <c r="G125" s="6">
        <v>70.13</v>
      </c>
      <c r="H125" s="6">
        <v>84.615</v>
      </c>
      <c r="I125" s="6">
        <v>66.667</v>
      </c>
      <c r="J125" s="6">
        <v>74.576</v>
      </c>
      <c r="K125" s="6">
        <v>79.318245</v>
      </c>
      <c r="L125" s="7">
        <v>0.940203</v>
      </c>
      <c r="M125" s="7">
        <v>0.678737</v>
      </c>
      <c r="N125" s="7">
        <v>0.741344</v>
      </c>
      <c r="O125" s="6">
        <v>1040.553</v>
      </c>
      <c r="P125" s="8">
        <v>0.5845464</v>
      </c>
      <c r="Q125" s="9">
        <v>301833</v>
      </c>
      <c r="R125" s="9">
        <v>85770</v>
      </c>
      <c r="S125" s="9">
        <v>387603</v>
      </c>
      <c r="T125" s="6">
        <v>1040.553</v>
      </c>
      <c r="U125" s="6">
        <v>1237.185</v>
      </c>
      <c r="V125" s="6">
        <v>196.6</v>
      </c>
      <c r="W125" s="6">
        <v>1004.531</v>
      </c>
      <c r="X125" s="6">
        <v>36.022</v>
      </c>
      <c r="Y125" s="6">
        <v>74.6747483333333</v>
      </c>
      <c r="Z125" s="10">
        <f t="shared" si="2"/>
        <v>74.6747483333333</v>
      </c>
      <c r="AA125" s="11">
        <f t="shared" si="3"/>
        <v>0</v>
      </c>
      <c r="AB125" s="5" t="s">
        <v>413</v>
      </c>
    </row>
    <row r="126" spans="1:28">
      <c r="A126" s="5">
        <v>7</v>
      </c>
      <c r="B126" s="5" t="s">
        <v>247</v>
      </c>
      <c r="C126" s="5" t="s">
        <v>269</v>
      </c>
      <c r="D126" s="5">
        <v>5</v>
      </c>
      <c r="E126" s="6">
        <v>94.12</v>
      </c>
      <c r="F126" s="6">
        <v>85.71</v>
      </c>
      <c r="G126" s="6">
        <v>89.72</v>
      </c>
      <c r="H126" s="6">
        <v>82.051</v>
      </c>
      <c r="I126" s="6">
        <v>86.486</v>
      </c>
      <c r="J126" s="6">
        <v>84.211</v>
      </c>
      <c r="K126" s="6">
        <v>82.497437</v>
      </c>
      <c r="L126" s="7">
        <v>0.902506</v>
      </c>
      <c r="M126" s="7">
        <v>0.670247</v>
      </c>
      <c r="N126" s="7">
        <v>0.995025</v>
      </c>
      <c r="O126" s="6">
        <v>316.894</v>
      </c>
      <c r="P126" s="8">
        <v>0.3307632</v>
      </c>
      <c r="Q126" s="9">
        <v>175444</v>
      </c>
      <c r="R126" s="9">
        <v>47602</v>
      </c>
      <c r="S126" s="9">
        <v>223046</v>
      </c>
      <c r="T126" s="6">
        <v>316.894</v>
      </c>
      <c r="U126" s="6">
        <v>488.705</v>
      </c>
      <c r="V126" s="6">
        <v>171.788</v>
      </c>
      <c r="W126" s="6">
        <v>294.534</v>
      </c>
      <c r="X126" s="6">
        <v>22.36</v>
      </c>
      <c r="Y126" s="6">
        <v>85.4761456666667</v>
      </c>
      <c r="Z126" s="10">
        <f t="shared" si="2"/>
        <v>85.4761456666667</v>
      </c>
      <c r="AA126" s="11">
        <f t="shared" si="3"/>
        <v>0</v>
      </c>
      <c r="AB126" s="5" t="s">
        <v>414</v>
      </c>
    </row>
    <row r="127" spans="1:28">
      <c r="A127" s="5">
        <v>7</v>
      </c>
      <c r="B127" s="5" t="s">
        <v>247</v>
      </c>
      <c r="C127" s="5" t="s">
        <v>269</v>
      </c>
      <c r="D127" s="5">
        <v>6</v>
      </c>
      <c r="E127" s="6">
        <v>98.11</v>
      </c>
      <c r="F127" s="6">
        <v>82.54</v>
      </c>
      <c r="G127" s="6">
        <v>89.66</v>
      </c>
      <c r="H127" s="6">
        <v>78.571</v>
      </c>
      <c r="I127" s="6">
        <v>91.667</v>
      </c>
      <c r="J127" s="6">
        <v>84.615</v>
      </c>
      <c r="K127" s="6">
        <v>85.778869</v>
      </c>
      <c r="L127" s="7">
        <v>0.898395</v>
      </c>
      <c r="M127" s="7">
        <v>0.765789</v>
      </c>
      <c r="N127" s="7">
        <v>0.830882</v>
      </c>
      <c r="O127" s="6">
        <v>458.042</v>
      </c>
      <c r="P127" s="8">
        <v>0.3743192</v>
      </c>
      <c r="Q127" s="9">
        <v>181004</v>
      </c>
      <c r="R127" s="9">
        <v>57379</v>
      </c>
      <c r="S127" s="9">
        <v>238383</v>
      </c>
      <c r="T127" s="6">
        <v>458.042</v>
      </c>
      <c r="U127" s="6">
        <v>647.36</v>
      </c>
      <c r="V127" s="6">
        <v>189.293</v>
      </c>
      <c r="W127" s="6">
        <v>434.26</v>
      </c>
      <c r="X127" s="6">
        <v>23.782</v>
      </c>
      <c r="Y127" s="6">
        <v>86.684623</v>
      </c>
      <c r="Z127" s="10">
        <f t="shared" si="2"/>
        <v>86.684623</v>
      </c>
      <c r="AA127" s="11">
        <f t="shared" si="3"/>
        <v>0</v>
      </c>
      <c r="AB127" s="5" t="s">
        <v>415</v>
      </c>
    </row>
    <row r="128" spans="1:28">
      <c r="A128" s="5">
        <v>7</v>
      </c>
      <c r="B128" s="5" t="s">
        <v>247</v>
      </c>
      <c r="C128" s="5" t="s">
        <v>269</v>
      </c>
      <c r="D128" s="5">
        <v>8</v>
      </c>
      <c r="E128" s="6">
        <v>100</v>
      </c>
      <c r="F128" s="6">
        <v>71.43</v>
      </c>
      <c r="G128" s="6">
        <v>83.33</v>
      </c>
      <c r="H128" s="6">
        <v>73.913</v>
      </c>
      <c r="I128" s="6">
        <v>94.444</v>
      </c>
      <c r="J128" s="6">
        <v>82.927</v>
      </c>
      <c r="K128" s="6">
        <v>73.04749</v>
      </c>
      <c r="L128" s="7">
        <v>0.873046</v>
      </c>
      <c r="M128" s="7">
        <v>0.603395</v>
      </c>
      <c r="N128" s="7">
        <v>0.842365</v>
      </c>
      <c r="O128" s="6">
        <v>341.87</v>
      </c>
      <c r="P128" s="8">
        <v>0.2953576</v>
      </c>
      <c r="Q128" s="9">
        <v>137857</v>
      </c>
      <c r="R128" s="9">
        <v>46268</v>
      </c>
      <c r="S128" s="9">
        <v>184125</v>
      </c>
      <c r="T128" s="6">
        <v>341.87</v>
      </c>
      <c r="U128" s="6">
        <v>503.148</v>
      </c>
      <c r="V128" s="6">
        <v>161.254</v>
      </c>
      <c r="W128" s="6">
        <v>311.698</v>
      </c>
      <c r="X128" s="6">
        <v>30.172</v>
      </c>
      <c r="Y128" s="6">
        <v>79.7681633333333</v>
      </c>
      <c r="Z128" s="10">
        <f t="shared" si="2"/>
        <v>79.7681633333333</v>
      </c>
      <c r="AA128" s="11">
        <f t="shared" si="3"/>
        <v>0</v>
      </c>
      <c r="AB128" s="5" t="s">
        <v>416</v>
      </c>
    </row>
    <row r="129" spans="1:28">
      <c r="A129" s="5">
        <v>7</v>
      </c>
      <c r="B129" s="5" t="s">
        <v>247</v>
      </c>
      <c r="C129" s="5" t="s">
        <v>269</v>
      </c>
      <c r="D129" s="5">
        <v>9</v>
      </c>
      <c r="E129" s="6">
        <v>100</v>
      </c>
      <c r="F129" s="6">
        <v>64.71</v>
      </c>
      <c r="G129" s="6">
        <v>78.57</v>
      </c>
      <c r="H129" s="6">
        <v>88.889</v>
      </c>
      <c r="I129" s="6">
        <v>80</v>
      </c>
      <c r="J129" s="6">
        <v>84.211</v>
      </c>
      <c r="K129" s="6">
        <v>82.356321</v>
      </c>
      <c r="L129" s="7">
        <v>0.93216</v>
      </c>
      <c r="M129" s="7">
        <v>0.678367</v>
      </c>
      <c r="N129" s="7">
        <v>0.940789</v>
      </c>
      <c r="O129" s="6">
        <v>495.068</v>
      </c>
      <c r="P129" s="8">
        <v>0.4833728</v>
      </c>
      <c r="Q129" s="9">
        <v>280826</v>
      </c>
      <c r="R129" s="9">
        <v>64678</v>
      </c>
      <c r="S129" s="9">
        <v>345504</v>
      </c>
      <c r="T129" s="6">
        <v>495.068</v>
      </c>
      <c r="U129" s="6">
        <v>667.393</v>
      </c>
      <c r="V129" s="6">
        <v>172.299</v>
      </c>
      <c r="W129" s="6">
        <v>466.766</v>
      </c>
      <c r="X129" s="6">
        <v>28.302</v>
      </c>
      <c r="Y129" s="6">
        <v>81.7124403333333</v>
      </c>
      <c r="Z129" s="10">
        <f t="shared" si="2"/>
        <v>81.7124403333333</v>
      </c>
      <c r="AA129" s="11">
        <f t="shared" si="3"/>
        <v>0</v>
      </c>
      <c r="AB129" s="5" t="s">
        <v>417</v>
      </c>
    </row>
    <row r="130" spans="1:28">
      <c r="A130" s="5">
        <v>7</v>
      </c>
      <c r="B130" s="5" t="s">
        <v>247</v>
      </c>
      <c r="C130" s="5" t="s">
        <v>269</v>
      </c>
      <c r="D130" s="5">
        <v>10</v>
      </c>
      <c r="E130" s="6">
        <v>88.89</v>
      </c>
      <c r="F130" s="6">
        <v>72.73</v>
      </c>
      <c r="G130" s="6">
        <v>80</v>
      </c>
      <c r="H130" s="6">
        <v>46.667</v>
      </c>
      <c r="I130" s="6">
        <v>100</v>
      </c>
      <c r="J130" s="6">
        <v>63.636</v>
      </c>
      <c r="K130" s="6">
        <v>79.316053</v>
      </c>
      <c r="L130" s="7">
        <v>0.868056</v>
      </c>
      <c r="M130" s="7">
        <v>0.8057</v>
      </c>
      <c r="N130" s="7">
        <v>0.740741</v>
      </c>
      <c r="O130" s="6">
        <v>465.767</v>
      </c>
      <c r="P130" s="8">
        <v>0.4183216</v>
      </c>
      <c r="Q130" s="9">
        <v>247882</v>
      </c>
      <c r="R130" s="9">
        <v>55004</v>
      </c>
      <c r="S130" s="9">
        <v>302886</v>
      </c>
      <c r="T130" s="6">
        <v>465.767</v>
      </c>
      <c r="U130" s="6">
        <v>618.427</v>
      </c>
      <c r="V130" s="6">
        <v>152.635</v>
      </c>
      <c r="W130" s="6">
        <v>443.419</v>
      </c>
      <c r="X130" s="6">
        <v>22.348</v>
      </c>
      <c r="Y130" s="6">
        <v>74.317351</v>
      </c>
      <c r="Z130" s="10">
        <f t="shared" ref="Z130:Z181" si="4">AVERAGE(G130,J130,K130)</f>
        <v>74.317351</v>
      </c>
      <c r="AA130" s="11">
        <f t="shared" ref="AA130:AA181" si="5">Z130-Y130</f>
        <v>0</v>
      </c>
      <c r="AB130" s="5" t="s">
        <v>418</v>
      </c>
    </row>
    <row r="131" spans="1:28">
      <c r="A131" s="5">
        <v>7</v>
      </c>
      <c r="B131" s="5" t="s">
        <v>247</v>
      </c>
      <c r="C131" s="5" t="s">
        <v>269</v>
      </c>
      <c r="D131" s="5">
        <v>12</v>
      </c>
      <c r="E131" s="6">
        <v>100</v>
      </c>
      <c r="F131" s="6">
        <v>66.67</v>
      </c>
      <c r="G131" s="6">
        <v>80</v>
      </c>
      <c r="H131" s="6">
        <v>92</v>
      </c>
      <c r="I131" s="6">
        <v>67.647</v>
      </c>
      <c r="J131" s="6">
        <v>77.966</v>
      </c>
      <c r="K131" s="6">
        <v>74.015613</v>
      </c>
      <c r="L131" s="7">
        <v>0.896911</v>
      </c>
      <c r="M131" s="7">
        <v>0.556595</v>
      </c>
      <c r="N131" s="7">
        <v>0.833333</v>
      </c>
      <c r="O131" s="6">
        <v>172.91</v>
      </c>
      <c r="P131" s="8">
        <v>0.3604232</v>
      </c>
      <c r="Q131" s="9">
        <v>212719</v>
      </c>
      <c r="R131" s="9">
        <v>47562</v>
      </c>
      <c r="S131" s="9">
        <v>260281</v>
      </c>
      <c r="T131" s="6">
        <v>172.91</v>
      </c>
      <c r="U131" s="6">
        <v>306.965</v>
      </c>
      <c r="V131" s="6">
        <v>150.021</v>
      </c>
      <c r="W131" s="6">
        <v>134.03</v>
      </c>
      <c r="X131" s="6">
        <v>22.889</v>
      </c>
      <c r="Y131" s="6">
        <v>77.3272043333333</v>
      </c>
      <c r="Z131" s="10">
        <f t="shared" si="4"/>
        <v>77.3272043333333</v>
      </c>
      <c r="AA131" s="11">
        <f t="shared" si="5"/>
        <v>0</v>
      </c>
      <c r="AB131" s="5" t="s">
        <v>419</v>
      </c>
    </row>
    <row r="132" spans="1:28">
      <c r="A132" s="5">
        <v>7</v>
      </c>
      <c r="B132" s="5" t="s">
        <v>247</v>
      </c>
      <c r="C132" s="5" t="s">
        <v>269</v>
      </c>
      <c r="D132" s="5">
        <v>20</v>
      </c>
      <c r="E132" s="6">
        <v>100</v>
      </c>
      <c r="F132" s="6">
        <v>70.97</v>
      </c>
      <c r="G132" s="6">
        <v>83.02</v>
      </c>
      <c r="H132" s="6">
        <v>73.333</v>
      </c>
      <c r="I132" s="6">
        <v>70.968</v>
      </c>
      <c r="J132" s="6">
        <v>72.131</v>
      </c>
      <c r="K132" s="6">
        <v>78.417351</v>
      </c>
      <c r="L132" s="7">
        <v>0.958988</v>
      </c>
      <c r="M132" s="7">
        <v>0.623994</v>
      </c>
      <c r="N132" s="7">
        <v>0.805825</v>
      </c>
      <c r="O132" s="6">
        <v>271.14</v>
      </c>
      <c r="P132" s="8">
        <v>0.4161992</v>
      </c>
      <c r="Q132" s="9">
        <v>181104</v>
      </c>
      <c r="R132" s="9">
        <v>67829</v>
      </c>
      <c r="S132" s="9">
        <v>248933</v>
      </c>
      <c r="T132" s="6">
        <v>271.14</v>
      </c>
      <c r="U132" s="6">
        <v>417.424</v>
      </c>
      <c r="V132" s="6">
        <v>146.247</v>
      </c>
      <c r="W132" s="6">
        <v>237.079</v>
      </c>
      <c r="X132" s="6">
        <v>34.061</v>
      </c>
      <c r="Y132" s="6">
        <v>77.856117</v>
      </c>
      <c r="Z132" s="10">
        <f t="shared" si="4"/>
        <v>77.856117</v>
      </c>
      <c r="AA132" s="11">
        <f t="shared" si="5"/>
        <v>0</v>
      </c>
      <c r="AB132" s="5" t="s">
        <v>420</v>
      </c>
    </row>
    <row r="133" spans="1:28">
      <c r="A133" s="5">
        <v>7</v>
      </c>
      <c r="B133" s="5" t="s">
        <v>247</v>
      </c>
      <c r="C133" s="5" t="s">
        <v>269</v>
      </c>
      <c r="D133" s="5">
        <v>22</v>
      </c>
      <c r="E133" s="6">
        <v>100</v>
      </c>
      <c r="F133" s="6">
        <v>83.05</v>
      </c>
      <c r="G133" s="6">
        <v>90.74</v>
      </c>
      <c r="H133" s="6">
        <v>92.857</v>
      </c>
      <c r="I133" s="6">
        <v>100</v>
      </c>
      <c r="J133" s="6">
        <v>96.296</v>
      </c>
      <c r="K133" s="6">
        <v>74.411742</v>
      </c>
      <c r="L133" s="7">
        <v>0.909877</v>
      </c>
      <c r="M133" s="7">
        <v>0.733245</v>
      </c>
      <c r="N133" s="7">
        <v>0.71978</v>
      </c>
      <c r="O133" s="6">
        <v>159.744</v>
      </c>
      <c r="P133" s="8">
        <v>0.311844</v>
      </c>
      <c r="Q133" s="9">
        <v>163565</v>
      </c>
      <c r="R133" s="9">
        <v>45248</v>
      </c>
      <c r="S133" s="9">
        <v>208813</v>
      </c>
      <c r="T133" s="6">
        <v>159.744</v>
      </c>
      <c r="U133" s="6">
        <v>289.724</v>
      </c>
      <c r="V133" s="6">
        <v>129.952</v>
      </c>
      <c r="W133" s="6">
        <v>136.337</v>
      </c>
      <c r="X133" s="6">
        <v>23.407</v>
      </c>
      <c r="Y133" s="6">
        <v>87.1492473333333</v>
      </c>
      <c r="Z133" s="10">
        <f t="shared" si="4"/>
        <v>87.1492473333333</v>
      </c>
      <c r="AA133" s="11">
        <f t="shared" si="5"/>
        <v>0</v>
      </c>
      <c r="AB133" s="5" t="s">
        <v>421</v>
      </c>
    </row>
    <row r="134" spans="1:28">
      <c r="A134" s="5">
        <v>7</v>
      </c>
      <c r="B134" s="5" t="s">
        <v>247</v>
      </c>
      <c r="C134" s="5" t="s">
        <v>269</v>
      </c>
      <c r="D134" s="5">
        <v>24</v>
      </c>
      <c r="E134" s="6">
        <v>100</v>
      </c>
      <c r="F134" s="6">
        <v>70.27</v>
      </c>
      <c r="G134" s="6">
        <v>82.54</v>
      </c>
      <c r="H134" s="6">
        <v>61.538</v>
      </c>
      <c r="I134" s="6">
        <v>64</v>
      </c>
      <c r="J134" s="6">
        <v>62.745</v>
      </c>
      <c r="K134" s="6">
        <v>89.477431</v>
      </c>
      <c r="L134" s="7">
        <v>0.902485</v>
      </c>
      <c r="M134" s="7">
        <v>0.816582</v>
      </c>
      <c r="N134" s="7">
        <v>0.904977</v>
      </c>
      <c r="O134" s="6">
        <v>166.604</v>
      </c>
      <c r="P134" s="8">
        <v>0.3935168</v>
      </c>
      <c r="Q134" s="9">
        <v>256841</v>
      </c>
      <c r="R134" s="9">
        <v>47011</v>
      </c>
      <c r="S134" s="9">
        <v>303852</v>
      </c>
      <c r="T134" s="6">
        <v>166.604</v>
      </c>
      <c r="U134" s="6">
        <v>300.694</v>
      </c>
      <c r="V134" s="6">
        <v>134.063</v>
      </c>
      <c r="W134" s="6">
        <v>142.012</v>
      </c>
      <c r="X134" s="6">
        <v>24.592</v>
      </c>
      <c r="Y134" s="6">
        <v>78.2541436666667</v>
      </c>
      <c r="Z134" s="10">
        <f t="shared" si="4"/>
        <v>78.2541436666667</v>
      </c>
      <c r="AA134" s="11">
        <f t="shared" si="5"/>
        <v>0</v>
      </c>
      <c r="AB134" s="5" t="s">
        <v>422</v>
      </c>
    </row>
    <row r="135" spans="1:28">
      <c r="A135" s="5">
        <v>7</v>
      </c>
      <c r="B135" s="5" t="s">
        <v>247</v>
      </c>
      <c r="C135" s="5" t="s">
        <v>269</v>
      </c>
      <c r="D135" s="5">
        <v>26</v>
      </c>
      <c r="E135" s="6">
        <v>100</v>
      </c>
      <c r="F135" s="6">
        <v>87.13</v>
      </c>
      <c r="G135" s="6">
        <v>93.12</v>
      </c>
      <c r="H135" s="6">
        <v>61.538</v>
      </c>
      <c r="I135" s="6">
        <v>64</v>
      </c>
      <c r="J135" s="6">
        <v>62.745</v>
      </c>
      <c r="K135" s="6">
        <v>83.23242</v>
      </c>
      <c r="L135" s="7">
        <v>0.882749</v>
      </c>
      <c r="M135" s="7">
        <v>0.808174</v>
      </c>
      <c r="N135" s="7">
        <v>0.760943</v>
      </c>
      <c r="O135" s="6">
        <v>270.059</v>
      </c>
      <c r="P135" s="8">
        <v>0.3702672</v>
      </c>
      <c r="Q135" s="9">
        <v>159794</v>
      </c>
      <c r="R135" s="9">
        <v>60608</v>
      </c>
      <c r="S135" s="9">
        <v>220402</v>
      </c>
      <c r="T135" s="6">
        <v>270.059</v>
      </c>
      <c r="U135" s="6">
        <v>406.277</v>
      </c>
      <c r="V135" s="6">
        <v>136.189</v>
      </c>
      <c r="W135" s="6">
        <v>235.116</v>
      </c>
      <c r="X135" s="6">
        <v>34.943</v>
      </c>
      <c r="Y135" s="6">
        <v>79.69914</v>
      </c>
      <c r="Z135" s="10">
        <f t="shared" si="4"/>
        <v>79.69914</v>
      </c>
      <c r="AA135" s="11">
        <f t="shared" si="5"/>
        <v>0</v>
      </c>
      <c r="AB135" s="5" t="s">
        <v>423</v>
      </c>
    </row>
    <row r="136" spans="1:28">
      <c r="A136" s="5">
        <v>7</v>
      </c>
      <c r="B136" s="5" t="s">
        <v>247</v>
      </c>
      <c r="C136" s="5" t="s">
        <v>269</v>
      </c>
      <c r="D136" s="5">
        <v>29</v>
      </c>
      <c r="E136" s="6">
        <v>97.92</v>
      </c>
      <c r="F136" s="6">
        <v>71.83</v>
      </c>
      <c r="G136" s="6">
        <v>82.87</v>
      </c>
      <c r="H136" s="6">
        <v>78.571</v>
      </c>
      <c r="I136" s="6">
        <v>91.667</v>
      </c>
      <c r="J136" s="6">
        <v>84.615</v>
      </c>
      <c r="K136" s="6">
        <v>82.306238</v>
      </c>
      <c r="L136" s="7">
        <v>0.875632</v>
      </c>
      <c r="M136" s="7">
        <v>0.752961</v>
      </c>
      <c r="N136" s="7">
        <v>0.856522</v>
      </c>
      <c r="O136" s="6">
        <v>227.641</v>
      </c>
      <c r="P136" s="8">
        <v>0.3801816</v>
      </c>
      <c r="Q136" s="9">
        <v>197612</v>
      </c>
      <c r="R136" s="9">
        <v>55523</v>
      </c>
      <c r="S136" s="9">
        <v>253135</v>
      </c>
      <c r="T136" s="6">
        <v>227.641</v>
      </c>
      <c r="U136" s="6">
        <v>374.853</v>
      </c>
      <c r="V136" s="6">
        <v>147.187</v>
      </c>
      <c r="W136" s="6">
        <v>191.04</v>
      </c>
      <c r="X136" s="6">
        <v>36.601</v>
      </c>
      <c r="Y136" s="6">
        <v>83.263746</v>
      </c>
      <c r="Z136" s="10">
        <f t="shared" si="4"/>
        <v>83.263746</v>
      </c>
      <c r="AA136" s="11">
        <f t="shared" si="5"/>
        <v>0</v>
      </c>
      <c r="AB136" s="5" t="s">
        <v>424</v>
      </c>
    </row>
    <row r="137" spans="1:28">
      <c r="A137" s="5">
        <v>7</v>
      </c>
      <c r="B137" s="5" t="s">
        <v>247</v>
      </c>
      <c r="C137" s="5" t="s">
        <v>269</v>
      </c>
      <c r="D137" s="5">
        <v>44</v>
      </c>
      <c r="E137" s="6">
        <v>100</v>
      </c>
      <c r="F137" s="6">
        <v>67.2</v>
      </c>
      <c r="G137" s="6">
        <v>80.38</v>
      </c>
      <c r="H137" s="6">
        <v>68.056</v>
      </c>
      <c r="I137" s="6">
        <v>92.453</v>
      </c>
      <c r="J137" s="6">
        <v>78.4</v>
      </c>
      <c r="K137" s="6">
        <v>68.625839</v>
      </c>
      <c r="L137" s="7">
        <v>0.91881</v>
      </c>
      <c r="M137" s="7">
        <v>0.429149</v>
      </c>
      <c r="N137" s="7">
        <v>0.918033</v>
      </c>
      <c r="O137" s="6">
        <v>228.095</v>
      </c>
      <c r="P137" s="8">
        <v>0.3855456</v>
      </c>
      <c r="Q137" s="9">
        <v>176517</v>
      </c>
      <c r="R137" s="9">
        <v>61083</v>
      </c>
      <c r="S137" s="9">
        <v>237600</v>
      </c>
      <c r="T137" s="6">
        <v>228.095</v>
      </c>
      <c r="U137" s="6">
        <v>359.584</v>
      </c>
      <c r="V137" s="6">
        <v>131.462</v>
      </c>
      <c r="W137" s="6">
        <v>197.639</v>
      </c>
      <c r="X137" s="6">
        <v>30.456</v>
      </c>
      <c r="Y137" s="6">
        <v>75.8019463333333</v>
      </c>
      <c r="Z137" s="10">
        <f t="shared" si="4"/>
        <v>75.8019463333333</v>
      </c>
      <c r="AA137" s="11">
        <f t="shared" si="5"/>
        <v>0</v>
      </c>
      <c r="AB137" s="5" t="s">
        <v>425</v>
      </c>
    </row>
    <row r="138" spans="1:28">
      <c r="A138" s="5">
        <v>7</v>
      </c>
      <c r="B138" s="5" t="s">
        <v>247</v>
      </c>
      <c r="C138" s="5" t="s">
        <v>269</v>
      </c>
      <c r="D138" s="5">
        <v>52</v>
      </c>
      <c r="E138" s="6">
        <v>100</v>
      </c>
      <c r="F138" s="6">
        <v>82.05</v>
      </c>
      <c r="G138" s="6">
        <v>90.14</v>
      </c>
      <c r="H138" s="6">
        <v>59.375</v>
      </c>
      <c r="I138" s="6">
        <v>79.167</v>
      </c>
      <c r="J138" s="6">
        <v>67.857</v>
      </c>
      <c r="K138" s="6">
        <v>77.145417</v>
      </c>
      <c r="L138" s="7">
        <v>0.777738</v>
      </c>
      <c r="M138" s="7">
        <v>0.630477</v>
      </c>
      <c r="N138" s="7">
        <v>0.910204</v>
      </c>
      <c r="O138" s="6">
        <v>184.291</v>
      </c>
      <c r="P138" s="8">
        <v>0.339648</v>
      </c>
      <c r="Q138" s="9">
        <v>174120</v>
      </c>
      <c r="R138" s="9">
        <v>50088</v>
      </c>
      <c r="S138" s="9">
        <v>224208</v>
      </c>
      <c r="T138" s="6">
        <v>184.291</v>
      </c>
      <c r="U138" s="6">
        <v>313.724</v>
      </c>
      <c r="V138" s="6">
        <v>129.408</v>
      </c>
      <c r="W138" s="6">
        <v>153.018</v>
      </c>
      <c r="X138" s="6">
        <v>31.273</v>
      </c>
      <c r="Y138" s="6">
        <v>78.3808056666667</v>
      </c>
      <c r="Z138" s="10">
        <f t="shared" si="4"/>
        <v>78.3808056666667</v>
      </c>
      <c r="AA138" s="11">
        <f t="shared" si="5"/>
        <v>0</v>
      </c>
      <c r="AB138" s="5" t="s">
        <v>426</v>
      </c>
    </row>
    <row r="139" spans="1:28">
      <c r="A139" s="5">
        <v>7</v>
      </c>
      <c r="B139" s="5" t="s">
        <v>247</v>
      </c>
      <c r="C139" s="5" t="s">
        <v>269</v>
      </c>
      <c r="D139" s="5">
        <v>53</v>
      </c>
      <c r="E139" s="6">
        <v>100</v>
      </c>
      <c r="F139" s="6">
        <v>79.03</v>
      </c>
      <c r="G139" s="6">
        <v>88.29</v>
      </c>
      <c r="H139" s="6">
        <v>76.316</v>
      </c>
      <c r="I139" s="6">
        <v>93.548</v>
      </c>
      <c r="J139" s="6">
        <v>84.058</v>
      </c>
      <c r="K139" s="6">
        <v>75.290403</v>
      </c>
      <c r="L139" s="7">
        <v>0.845822</v>
      </c>
      <c r="M139" s="7">
        <v>0.636012</v>
      </c>
      <c r="N139" s="7">
        <v>0.858447</v>
      </c>
      <c r="O139" s="6">
        <v>200.265</v>
      </c>
      <c r="P139" s="8">
        <v>0.3375904</v>
      </c>
      <c r="Q139" s="9">
        <v>172083</v>
      </c>
      <c r="R139" s="9">
        <v>49981</v>
      </c>
      <c r="S139" s="9">
        <v>222064</v>
      </c>
      <c r="T139" s="6">
        <v>200.265</v>
      </c>
      <c r="U139" s="6">
        <v>333.133</v>
      </c>
      <c r="V139" s="6">
        <v>132.844</v>
      </c>
      <c r="W139" s="6">
        <v>167.699</v>
      </c>
      <c r="X139" s="6">
        <v>32.566</v>
      </c>
      <c r="Y139" s="6">
        <v>82.5461343333333</v>
      </c>
      <c r="Z139" s="10">
        <f t="shared" si="4"/>
        <v>82.5461343333333</v>
      </c>
      <c r="AA139" s="11">
        <f t="shared" si="5"/>
        <v>0</v>
      </c>
      <c r="AB139" s="5" t="s">
        <v>427</v>
      </c>
    </row>
    <row r="140" spans="1:28">
      <c r="A140" s="5">
        <v>7</v>
      </c>
      <c r="B140" s="5" t="s">
        <v>247</v>
      </c>
      <c r="C140" s="5" t="s">
        <v>269</v>
      </c>
      <c r="D140" s="5">
        <v>145</v>
      </c>
      <c r="E140" s="6">
        <v>96.97</v>
      </c>
      <c r="F140" s="6">
        <v>84.21</v>
      </c>
      <c r="G140" s="6">
        <v>90.14</v>
      </c>
      <c r="H140" s="6">
        <v>100</v>
      </c>
      <c r="I140" s="6">
        <v>100</v>
      </c>
      <c r="J140" s="6">
        <v>100</v>
      </c>
      <c r="K140" s="6">
        <v>75.959738</v>
      </c>
      <c r="L140" s="7">
        <v>0.94603</v>
      </c>
      <c r="M140" s="7">
        <v>0.686536</v>
      </c>
      <c r="N140" s="7">
        <v>0.741818</v>
      </c>
      <c r="O140" s="6">
        <v>195.234</v>
      </c>
      <c r="P140" s="8">
        <v>0.3660048</v>
      </c>
      <c r="Q140" s="9">
        <v>202231</v>
      </c>
      <c r="R140" s="9">
        <v>51055</v>
      </c>
      <c r="S140" s="9">
        <v>253286</v>
      </c>
      <c r="T140" s="6">
        <v>195.234</v>
      </c>
      <c r="U140" s="6">
        <v>313.32</v>
      </c>
      <c r="V140" s="6">
        <v>118.064</v>
      </c>
      <c r="W140" s="6">
        <v>165.79</v>
      </c>
      <c r="X140" s="6">
        <v>29.444</v>
      </c>
      <c r="Y140" s="6">
        <v>88.6999126666667</v>
      </c>
      <c r="Z140" s="10">
        <f t="shared" si="4"/>
        <v>88.6999126666667</v>
      </c>
      <c r="AA140" s="11">
        <f t="shared" si="5"/>
        <v>0</v>
      </c>
      <c r="AB140" s="5" t="s">
        <v>428</v>
      </c>
    </row>
    <row r="141" spans="1:28">
      <c r="A141" s="5">
        <v>7</v>
      </c>
      <c r="B141" s="5" t="s">
        <v>247</v>
      </c>
      <c r="C141" s="5" t="s">
        <v>269</v>
      </c>
      <c r="D141" s="5">
        <v>147</v>
      </c>
      <c r="E141" s="6">
        <v>100</v>
      </c>
      <c r="F141" s="6">
        <v>89.66</v>
      </c>
      <c r="G141" s="6">
        <v>94.55</v>
      </c>
      <c r="H141" s="6">
        <v>94.118</v>
      </c>
      <c r="I141" s="6">
        <v>94.118</v>
      </c>
      <c r="J141" s="6">
        <v>94.118</v>
      </c>
      <c r="K141" s="6">
        <v>85.954146</v>
      </c>
      <c r="L141" s="7">
        <v>0.818378</v>
      </c>
      <c r="M141" s="7">
        <v>0.821554</v>
      </c>
      <c r="N141" s="7">
        <v>0.97235</v>
      </c>
      <c r="O141" s="6">
        <v>152.858</v>
      </c>
      <c r="P141" s="8">
        <v>0.2668968</v>
      </c>
      <c r="Q141" s="9">
        <v>122966</v>
      </c>
      <c r="R141" s="9">
        <v>42131</v>
      </c>
      <c r="S141" s="9">
        <v>165097</v>
      </c>
      <c r="T141" s="6">
        <v>152.858</v>
      </c>
      <c r="U141" s="6">
        <v>261.365</v>
      </c>
      <c r="V141" s="6">
        <v>128.905</v>
      </c>
      <c r="W141" s="6">
        <v>108.484</v>
      </c>
      <c r="X141" s="6">
        <v>23.953</v>
      </c>
      <c r="Y141" s="6">
        <v>91.5407153333333</v>
      </c>
      <c r="Z141" s="10">
        <f t="shared" si="4"/>
        <v>91.5407153333333</v>
      </c>
      <c r="AA141" s="11">
        <f t="shared" si="5"/>
        <v>0</v>
      </c>
      <c r="AB141" s="5" t="s">
        <v>429</v>
      </c>
    </row>
    <row r="142" spans="1:28">
      <c r="A142" s="5">
        <v>8</v>
      </c>
      <c r="B142" s="5" t="s">
        <v>248</v>
      </c>
      <c r="C142" s="5" t="s">
        <v>270</v>
      </c>
      <c r="D142" s="5">
        <v>1</v>
      </c>
      <c r="E142" s="6">
        <v>100</v>
      </c>
      <c r="F142" s="6">
        <v>75.93</v>
      </c>
      <c r="G142" s="6">
        <v>86.32</v>
      </c>
      <c r="H142" s="6">
        <v>75</v>
      </c>
      <c r="I142" s="6">
        <v>75</v>
      </c>
      <c r="J142" s="6">
        <v>75</v>
      </c>
      <c r="K142" s="6">
        <v>70.855024</v>
      </c>
      <c r="L142" s="7">
        <v>0.686367</v>
      </c>
      <c r="M142" s="7">
        <v>0.853723</v>
      </c>
      <c r="N142" s="7">
        <v>0.570667</v>
      </c>
      <c r="O142" s="6">
        <v>265.066</v>
      </c>
      <c r="P142" s="8">
        <v>0.293283</v>
      </c>
      <c r="Q142" s="9">
        <v>115302</v>
      </c>
      <c r="R142" s="9">
        <v>45957</v>
      </c>
      <c r="S142" s="9">
        <v>161259</v>
      </c>
      <c r="T142" s="6">
        <v>265.066</v>
      </c>
      <c r="U142" s="6">
        <v>327.778</v>
      </c>
      <c r="V142" s="6">
        <v>62.692</v>
      </c>
      <c r="W142" s="6">
        <v>253.106</v>
      </c>
      <c r="X142" s="6">
        <v>11.96</v>
      </c>
      <c r="Y142" s="6">
        <v>77.3916746666667</v>
      </c>
      <c r="Z142" s="10">
        <f t="shared" si="4"/>
        <v>77.3916746666667</v>
      </c>
      <c r="AA142" s="11">
        <f t="shared" si="5"/>
        <v>0</v>
      </c>
      <c r="AB142" s="5" t="s">
        <v>430</v>
      </c>
    </row>
    <row r="143" spans="1:28">
      <c r="A143" s="5">
        <v>8</v>
      </c>
      <c r="B143" s="5" t="s">
        <v>248</v>
      </c>
      <c r="C143" s="5" t="s">
        <v>270</v>
      </c>
      <c r="D143" s="5">
        <v>2</v>
      </c>
      <c r="E143" s="6">
        <v>96.88</v>
      </c>
      <c r="F143" s="6">
        <v>78.05</v>
      </c>
      <c r="G143" s="6">
        <v>86.45</v>
      </c>
      <c r="H143" s="6">
        <v>81.818</v>
      </c>
      <c r="I143" s="6">
        <v>85.714</v>
      </c>
      <c r="J143" s="6">
        <v>83.721</v>
      </c>
      <c r="K143" s="6">
        <v>79.219138</v>
      </c>
      <c r="L143" s="7">
        <v>0.957331</v>
      </c>
      <c r="M143" s="7">
        <v>0.794205</v>
      </c>
      <c r="N143" s="7">
        <v>0.710145</v>
      </c>
      <c r="O143" s="6">
        <v>176.682</v>
      </c>
      <c r="P143" s="8">
        <v>0.27889275</v>
      </c>
      <c r="Q143" s="9">
        <v>134791</v>
      </c>
      <c r="R143" s="9">
        <v>39511</v>
      </c>
      <c r="S143" s="9">
        <v>174302</v>
      </c>
      <c r="T143" s="6">
        <v>176.682</v>
      </c>
      <c r="U143" s="6">
        <v>261.164</v>
      </c>
      <c r="V143" s="6">
        <v>84.457</v>
      </c>
      <c r="W143" s="6">
        <v>165.857</v>
      </c>
      <c r="X143" s="6">
        <v>10.825</v>
      </c>
      <c r="Y143" s="6">
        <v>83.130046</v>
      </c>
      <c r="Z143" s="10">
        <f t="shared" si="4"/>
        <v>83.130046</v>
      </c>
      <c r="AA143" s="11">
        <f t="shared" si="5"/>
        <v>0</v>
      </c>
      <c r="AB143" s="5" t="s">
        <v>431</v>
      </c>
    </row>
    <row r="144" spans="1:28">
      <c r="A144" s="5">
        <v>8</v>
      </c>
      <c r="B144" s="5" t="s">
        <v>248</v>
      </c>
      <c r="C144" s="5" t="s">
        <v>270</v>
      </c>
      <c r="D144" s="5">
        <v>3</v>
      </c>
      <c r="E144" s="6">
        <v>100</v>
      </c>
      <c r="F144" s="6">
        <v>63.41</v>
      </c>
      <c r="G144" s="6">
        <v>77.61</v>
      </c>
      <c r="H144" s="6">
        <v>71.429</v>
      </c>
      <c r="I144" s="6">
        <v>53.571</v>
      </c>
      <c r="J144" s="6">
        <v>61.224</v>
      </c>
      <c r="K144" s="6">
        <v>79.465763</v>
      </c>
      <c r="L144" s="7">
        <v>0.959542</v>
      </c>
      <c r="M144" s="7">
        <v>0.796846</v>
      </c>
      <c r="N144" s="7">
        <v>0.72</v>
      </c>
      <c r="O144" s="6">
        <v>349.62</v>
      </c>
      <c r="P144" s="8">
        <v>0.35631975</v>
      </c>
      <c r="Q144" s="9">
        <v>171889</v>
      </c>
      <c r="R144" s="9">
        <v>50534</v>
      </c>
      <c r="S144" s="9">
        <v>222423</v>
      </c>
      <c r="T144" s="6">
        <v>349.62</v>
      </c>
      <c r="U144" s="6">
        <v>411.057</v>
      </c>
      <c r="V144" s="6">
        <v>61.408</v>
      </c>
      <c r="W144" s="6">
        <v>335.558</v>
      </c>
      <c r="X144" s="6">
        <v>14.062</v>
      </c>
      <c r="Y144" s="6">
        <v>72.7665876666667</v>
      </c>
      <c r="Z144" s="10">
        <f t="shared" si="4"/>
        <v>72.7665876666667</v>
      </c>
      <c r="AA144" s="11">
        <f t="shared" si="5"/>
        <v>0</v>
      </c>
      <c r="AB144" s="5" t="s">
        <v>432</v>
      </c>
    </row>
    <row r="145" spans="1:28">
      <c r="A145" s="5">
        <v>8</v>
      </c>
      <c r="B145" s="5" t="s">
        <v>248</v>
      </c>
      <c r="C145" s="5" t="s">
        <v>270</v>
      </c>
      <c r="D145" s="5">
        <v>4</v>
      </c>
      <c r="E145" s="6">
        <v>97.14</v>
      </c>
      <c r="F145" s="6">
        <v>70</v>
      </c>
      <c r="G145" s="6">
        <v>81.37</v>
      </c>
      <c r="H145" s="6">
        <v>86.667</v>
      </c>
      <c r="I145" s="6">
        <v>39.394</v>
      </c>
      <c r="J145" s="6">
        <v>54.167</v>
      </c>
      <c r="K145" s="6">
        <v>71.898491</v>
      </c>
      <c r="L145" s="7">
        <v>0.6644</v>
      </c>
      <c r="M145" s="7">
        <v>0.850129</v>
      </c>
      <c r="N145" s="7">
        <v>0.544492</v>
      </c>
      <c r="O145" s="6">
        <v>385.975</v>
      </c>
      <c r="P145" s="8">
        <v>0.463557</v>
      </c>
      <c r="Q145" s="9">
        <v>254182</v>
      </c>
      <c r="R145" s="9">
        <v>60649</v>
      </c>
      <c r="S145" s="9">
        <v>314831</v>
      </c>
      <c r="T145" s="6">
        <v>385.975</v>
      </c>
      <c r="U145" s="6">
        <v>459.797</v>
      </c>
      <c r="V145" s="6">
        <v>73.787</v>
      </c>
      <c r="W145" s="6">
        <v>372.228</v>
      </c>
      <c r="X145" s="6">
        <v>13.747</v>
      </c>
      <c r="Y145" s="6">
        <v>69.1451636666667</v>
      </c>
      <c r="Z145" s="10">
        <f t="shared" si="4"/>
        <v>69.1451636666667</v>
      </c>
      <c r="AA145" s="11">
        <f t="shared" si="5"/>
        <v>0</v>
      </c>
      <c r="AB145" s="5" t="s">
        <v>433</v>
      </c>
    </row>
    <row r="146" spans="1:28">
      <c r="A146" s="5">
        <v>8</v>
      </c>
      <c r="B146" s="5" t="s">
        <v>248</v>
      </c>
      <c r="C146" s="5" t="s">
        <v>270</v>
      </c>
      <c r="D146" s="5">
        <v>5</v>
      </c>
      <c r="E146" s="6">
        <v>100</v>
      </c>
      <c r="F146" s="6">
        <v>80.95</v>
      </c>
      <c r="G146" s="6">
        <v>89.47</v>
      </c>
      <c r="H146" s="6">
        <v>93.548</v>
      </c>
      <c r="I146" s="6">
        <v>78.378</v>
      </c>
      <c r="J146" s="6">
        <v>85.294</v>
      </c>
      <c r="K146" s="6">
        <v>82.380806</v>
      </c>
      <c r="L146" s="7">
        <v>0.875387</v>
      </c>
      <c r="M146" s="7">
        <v>0.779159</v>
      </c>
      <c r="N146" s="7">
        <v>0.866029</v>
      </c>
      <c r="O146" s="6">
        <v>127.275</v>
      </c>
      <c r="P146" s="8">
        <v>0.2711235</v>
      </c>
      <c r="Q146" s="9">
        <v>150430</v>
      </c>
      <c r="R146" s="9">
        <v>35178</v>
      </c>
      <c r="S146" s="9">
        <v>185608</v>
      </c>
      <c r="T146" s="6">
        <v>127.275</v>
      </c>
      <c r="U146" s="6">
        <v>219.128</v>
      </c>
      <c r="V146" s="6">
        <v>91.828</v>
      </c>
      <c r="W146" s="6">
        <v>118.391</v>
      </c>
      <c r="X146" s="6">
        <v>8.884</v>
      </c>
      <c r="Y146" s="6">
        <v>85.7149353333333</v>
      </c>
      <c r="Z146" s="10">
        <f t="shared" si="4"/>
        <v>85.7149353333333</v>
      </c>
      <c r="AA146" s="11">
        <f t="shared" si="5"/>
        <v>0</v>
      </c>
      <c r="AB146" s="5" t="s">
        <v>434</v>
      </c>
    </row>
    <row r="147" spans="1:28">
      <c r="A147" s="5">
        <v>8</v>
      </c>
      <c r="B147" s="5" t="s">
        <v>248</v>
      </c>
      <c r="C147" s="5" t="s">
        <v>270</v>
      </c>
      <c r="D147" s="5">
        <v>6</v>
      </c>
      <c r="E147" s="6">
        <v>97.92</v>
      </c>
      <c r="F147" s="6">
        <v>76.19</v>
      </c>
      <c r="G147" s="6">
        <v>85.7</v>
      </c>
      <c r="H147" s="6">
        <v>93.75</v>
      </c>
      <c r="I147" s="6">
        <v>62.5</v>
      </c>
      <c r="J147" s="6">
        <v>75</v>
      </c>
      <c r="K147" s="6">
        <v>87.160491</v>
      </c>
      <c r="L147" s="7">
        <v>0.936319</v>
      </c>
      <c r="M147" s="7">
        <v>0.834987</v>
      </c>
      <c r="N147" s="7">
        <v>0.954693</v>
      </c>
      <c r="O147" s="6">
        <v>201.514</v>
      </c>
      <c r="P147" s="8">
        <v>0.2840445</v>
      </c>
      <c r="Q147" s="9">
        <v>147486</v>
      </c>
      <c r="R147" s="9">
        <v>38540</v>
      </c>
      <c r="S147" s="9">
        <v>186026</v>
      </c>
      <c r="T147" s="6">
        <v>201.514</v>
      </c>
      <c r="U147" s="6">
        <v>255.457</v>
      </c>
      <c r="V147" s="6">
        <v>53.916</v>
      </c>
      <c r="W147" s="6">
        <v>187.921</v>
      </c>
      <c r="X147" s="6">
        <v>13.593</v>
      </c>
      <c r="Y147" s="6">
        <v>82.6201636666667</v>
      </c>
      <c r="Z147" s="10">
        <f t="shared" si="4"/>
        <v>82.6201636666667</v>
      </c>
      <c r="AA147" s="11">
        <f t="shared" si="5"/>
        <v>0</v>
      </c>
      <c r="AB147" s="5" t="s">
        <v>435</v>
      </c>
    </row>
    <row r="148" spans="1:28">
      <c r="A148" s="5">
        <v>8</v>
      </c>
      <c r="B148" s="5" t="s">
        <v>248</v>
      </c>
      <c r="C148" s="5" t="s">
        <v>270</v>
      </c>
      <c r="D148" s="5">
        <v>8</v>
      </c>
      <c r="E148" s="6">
        <v>98.59</v>
      </c>
      <c r="F148" s="6">
        <v>79.12</v>
      </c>
      <c r="G148" s="6">
        <v>87.79</v>
      </c>
      <c r="H148" s="6">
        <v>68</v>
      </c>
      <c r="I148" s="6">
        <v>94.444</v>
      </c>
      <c r="J148" s="6">
        <v>79.07</v>
      </c>
      <c r="K148" s="6">
        <v>72.806779</v>
      </c>
      <c r="L148" s="7">
        <v>0.70508</v>
      </c>
      <c r="M148" s="7">
        <v>0.690643</v>
      </c>
      <c r="N148" s="7">
        <v>0.807692</v>
      </c>
      <c r="O148" s="6">
        <v>140.441</v>
      </c>
      <c r="P148" s="8">
        <v>0.229938</v>
      </c>
      <c r="Q148" s="9">
        <v>115406</v>
      </c>
      <c r="R148" s="9">
        <v>31863</v>
      </c>
      <c r="S148" s="9">
        <v>147269</v>
      </c>
      <c r="T148" s="6">
        <v>140.441</v>
      </c>
      <c r="U148" s="6">
        <v>205.449</v>
      </c>
      <c r="V148" s="6">
        <v>64.988</v>
      </c>
      <c r="W148" s="6">
        <v>129.262</v>
      </c>
      <c r="X148" s="6">
        <v>11.179</v>
      </c>
      <c r="Y148" s="6">
        <v>79.8889263333333</v>
      </c>
      <c r="Z148" s="10">
        <f t="shared" si="4"/>
        <v>79.8889263333333</v>
      </c>
      <c r="AA148" s="11">
        <f t="shared" si="5"/>
        <v>0</v>
      </c>
      <c r="AB148" s="5" t="s">
        <v>436</v>
      </c>
    </row>
    <row r="149" spans="1:28">
      <c r="A149" s="5">
        <v>8</v>
      </c>
      <c r="B149" s="5" t="s">
        <v>248</v>
      </c>
      <c r="C149" s="5" t="s">
        <v>270</v>
      </c>
      <c r="D149" s="5">
        <v>9</v>
      </c>
      <c r="E149" s="6">
        <v>100</v>
      </c>
      <c r="F149" s="6">
        <v>88.24</v>
      </c>
      <c r="G149" s="6">
        <v>93.75</v>
      </c>
      <c r="H149" s="6">
        <v>86.957</v>
      </c>
      <c r="I149" s="6">
        <v>66.667</v>
      </c>
      <c r="J149" s="6">
        <v>75.472</v>
      </c>
      <c r="K149" s="6">
        <v>75.899771</v>
      </c>
      <c r="L149" s="7">
        <v>0.971667</v>
      </c>
      <c r="M149" s="7">
        <v>0.755123</v>
      </c>
      <c r="N149" s="7">
        <v>0.830247</v>
      </c>
      <c r="O149" s="6">
        <v>240.201</v>
      </c>
      <c r="P149" s="8">
        <v>0.3622785</v>
      </c>
      <c r="Q149" s="9">
        <v>220142</v>
      </c>
      <c r="R149" s="9">
        <v>43816</v>
      </c>
      <c r="S149" s="9">
        <v>263958</v>
      </c>
      <c r="T149" s="6">
        <v>240.201</v>
      </c>
      <c r="U149" s="6">
        <v>335.502</v>
      </c>
      <c r="V149" s="6">
        <v>95.273</v>
      </c>
      <c r="W149" s="6">
        <v>227.557</v>
      </c>
      <c r="X149" s="6">
        <v>12.644</v>
      </c>
      <c r="Y149" s="6">
        <v>81.707257</v>
      </c>
      <c r="Z149" s="10">
        <f t="shared" si="4"/>
        <v>81.707257</v>
      </c>
      <c r="AA149" s="11">
        <f t="shared" si="5"/>
        <v>0</v>
      </c>
      <c r="AB149" s="5" t="s">
        <v>437</v>
      </c>
    </row>
    <row r="150" spans="1:28">
      <c r="A150" s="5">
        <v>8</v>
      </c>
      <c r="B150" s="5" t="s">
        <v>248</v>
      </c>
      <c r="C150" s="5" t="s">
        <v>270</v>
      </c>
      <c r="D150" s="5">
        <v>10</v>
      </c>
      <c r="E150" s="6">
        <v>88.89</v>
      </c>
      <c r="F150" s="6">
        <v>72.73</v>
      </c>
      <c r="G150" s="6">
        <v>80</v>
      </c>
      <c r="H150" s="6">
        <v>50</v>
      </c>
      <c r="I150" s="6">
        <v>85.714</v>
      </c>
      <c r="J150" s="6">
        <v>63.158</v>
      </c>
      <c r="K150" s="6">
        <v>75.27947</v>
      </c>
      <c r="L150" s="7">
        <v>0.951883</v>
      </c>
      <c r="M150" s="7">
        <v>0.590786</v>
      </c>
      <c r="N150" s="7">
        <v>0.802469</v>
      </c>
      <c r="O150" s="6">
        <v>207.391</v>
      </c>
      <c r="P150" s="8">
        <v>0.31887075</v>
      </c>
      <c r="Q150" s="9">
        <v>209131</v>
      </c>
      <c r="R150" s="9">
        <v>36005</v>
      </c>
      <c r="S150" s="9">
        <v>245136</v>
      </c>
      <c r="T150" s="6">
        <v>207.391</v>
      </c>
      <c r="U150" s="6">
        <v>266.185</v>
      </c>
      <c r="V150" s="6">
        <v>58.771</v>
      </c>
      <c r="W150" s="6">
        <v>195.958</v>
      </c>
      <c r="X150" s="6">
        <v>11.433</v>
      </c>
      <c r="Y150" s="6">
        <v>72.81249</v>
      </c>
      <c r="Z150" s="10">
        <f t="shared" si="4"/>
        <v>72.81249</v>
      </c>
      <c r="AA150" s="11">
        <f t="shared" si="5"/>
        <v>0</v>
      </c>
      <c r="AB150" s="5" t="s">
        <v>438</v>
      </c>
    </row>
    <row r="151" spans="1:28">
      <c r="A151" s="5">
        <v>8</v>
      </c>
      <c r="B151" s="5" t="s">
        <v>248</v>
      </c>
      <c r="C151" s="5" t="s">
        <v>270</v>
      </c>
      <c r="D151" s="5">
        <v>12</v>
      </c>
      <c r="E151" s="6">
        <v>98.44</v>
      </c>
      <c r="F151" s="6">
        <v>70.97</v>
      </c>
      <c r="G151" s="6">
        <v>82.48</v>
      </c>
      <c r="H151" s="6">
        <v>90</v>
      </c>
      <c r="I151" s="6">
        <v>52.941</v>
      </c>
      <c r="J151" s="6">
        <v>66.667</v>
      </c>
      <c r="K151" s="6">
        <v>87.101426</v>
      </c>
      <c r="L151" s="7">
        <v>0.796832</v>
      </c>
      <c r="M151" s="7">
        <v>0.963691</v>
      </c>
      <c r="N151" s="7">
        <v>0.807107</v>
      </c>
      <c r="O151" s="6">
        <v>181.29</v>
      </c>
      <c r="P151" s="8">
        <v>0.295341</v>
      </c>
      <c r="Q151" s="9">
        <v>174266</v>
      </c>
      <c r="R151" s="9">
        <v>36587</v>
      </c>
      <c r="S151" s="9">
        <v>210853</v>
      </c>
      <c r="T151" s="6">
        <v>181.29</v>
      </c>
      <c r="U151" s="6">
        <v>300.323</v>
      </c>
      <c r="V151" s="6">
        <v>163.599</v>
      </c>
      <c r="W151" s="6">
        <v>119.013</v>
      </c>
      <c r="X151" s="6">
        <v>17.691</v>
      </c>
      <c r="Y151" s="6">
        <v>78.7494753333333</v>
      </c>
      <c r="Z151" s="10">
        <f t="shared" si="4"/>
        <v>78.7494753333333</v>
      </c>
      <c r="AA151" s="11">
        <f t="shared" si="5"/>
        <v>0</v>
      </c>
      <c r="AB151" s="5" t="s">
        <v>439</v>
      </c>
    </row>
    <row r="152" spans="1:28">
      <c r="A152" s="5">
        <v>8</v>
      </c>
      <c r="B152" s="5" t="s">
        <v>248</v>
      </c>
      <c r="C152" s="5" t="s">
        <v>270</v>
      </c>
      <c r="D152" s="5">
        <v>20</v>
      </c>
      <c r="E152" s="6">
        <v>100</v>
      </c>
      <c r="F152" s="6">
        <v>70.97</v>
      </c>
      <c r="G152" s="6">
        <v>83.02</v>
      </c>
      <c r="H152" s="6">
        <v>92.308</v>
      </c>
      <c r="I152" s="6">
        <v>77.419</v>
      </c>
      <c r="J152" s="6">
        <v>84.211</v>
      </c>
      <c r="K152" s="6">
        <v>75.204737</v>
      </c>
      <c r="L152" s="7">
        <v>0.811289</v>
      </c>
      <c r="M152" s="7">
        <v>0.727561</v>
      </c>
      <c r="N152" s="7">
        <v>0.789308</v>
      </c>
      <c r="O152" s="6">
        <v>224.673</v>
      </c>
      <c r="P152" s="8">
        <v>0.3084045</v>
      </c>
      <c r="Q152" s="9">
        <v>149438</v>
      </c>
      <c r="R152" s="9">
        <v>43628</v>
      </c>
      <c r="S152" s="9">
        <v>193066</v>
      </c>
      <c r="T152" s="6">
        <v>224.673</v>
      </c>
      <c r="U152" s="6">
        <v>364.518</v>
      </c>
      <c r="V152" s="6">
        <v>139.82</v>
      </c>
      <c r="W152" s="6">
        <v>212.05</v>
      </c>
      <c r="X152" s="6">
        <v>12.623</v>
      </c>
      <c r="Y152" s="6">
        <v>80.8119123333333</v>
      </c>
      <c r="Z152" s="10">
        <f t="shared" si="4"/>
        <v>80.8119123333333</v>
      </c>
      <c r="AA152" s="11">
        <f t="shared" si="5"/>
        <v>0</v>
      </c>
      <c r="AB152" s="5" t="s">
        <v>440</v>
      </c>
    </row>
    <row r="153" spans="1:28">
      <c r="A153" s="5">
        <v>8</v>
      </c>
      <c r="B153" s="5" t="s">
        <v>248</v>
      </c>
      <c r="C153" s="5" t="s">
        <v>270</v>
      </c>
      <c r="D153" s="5">
        <v>22</v>
      </c>
      <c r="E153" s="6">
        <v>100</v>
      </c>
      <c r="F153" s="6">
        <v>84.75</v>
      </c>
      <c r="G153" s="6">
        <v>91.74</v>
      </c>
      <c r="H153" s="6">
        <v>66.667</v>
      </c>
      <c r="I153" s="6">
        <v>92.308</v>
      </c>
      <c r="J153" s="6">
        <v>77.419</v>
      </c>
      <c r="K153" s="6">
        <v>83.711939</v>
      </c>
      <c r="L153" s="7">
        <v>0.88539</v>
      </c>
      <c r="M153" s="7">
        <v>0.783031</v>
      </c>
      <c r="N153" s="7">
        <v>0.957447</v>
      </c>
      <c r="O153" s="6">
        <v>131.008</v>
      </c>
      <c r="P153" s="8">
        <v>0.2333505</v>
      </c>
      <c r="Q153" s="9">
        <v>135940</v>
      </c>
      <c r="R153" s="9">
        <v>29199</v>
      </c>
      <c r="S153" s="9">
        <v>165139</v>
      </c>
      <c r="T153" s="6">
        <v>131.008</v>
      </c>
      <c r="U153" s="6">
        <v>199.637</v>
      </c>
      <c r="V153" s="6">
        <v>68.606</v>
      </c>
      <c r="W153" s="6">
        <v>121.83</v>
      </c>
      <c r="X153" s="6">
        <v>9.178</v>
      </c>
      <c r="Y153" s="6">
        <v>84.290313</v>
      </c>
      <c r="Z153" s="10">
        <f t="shared" si="4"/>
        <v>84.290313</v>
      </c>
      <c r="AA153" s="11">
        <f t="shared" si="5"/>
        <v>0</v>
      </c>
      <c r="AB153" s="5" t="s">
        <v>441</v>
      </c>
    </row>
    <row r="154" spans="1:28">
      <c r="A154" s="5">
        <v>8</v>
      </c>
      <c r="B154" s="5" t="s">
        <v>248</v>
      </c>
      <c r="C154" s="5" t="s">
        <v>270</v>
      </c>
      <c r="D154" s="5">
        <v>24</v>
      </c>
      <c r="E154" s="6">
        <v>100</v>
      </c>
      <c r="F154" s="6">
        <v>78.38</v>
      </c>
      <c r="G154" s="6">
        <v>87.88</v>
      </c>
      <c r="H154" s="6">
        <v>58.333</v>
      </c>
      <c r="I154" s="6">
        <v>56</v>
      </c>
      <c r="J154" s="6">
        <v>57.143</v>
      </c>
      <c r="K154" s="6">
        <v>74.911192</v>
      </c>
      <c r="L154" s="7">
        <v>0.950308</v>
      </c>
      <c r="M154" s="7">
        <v>0.738975</v>
      </c>
      <c r="N154" s="7">
        <v>0.647826</v>
      </c>
      <c r="O154" s="6">
        <v>155.88</v>
      </c>
      <c r="P154" s="8">
        <v>0.3004575</v>
      </c>
      <c r="Q154" s="9">
        <v>206384</v>
      </c>
      <c r="R154" s="9">
        <v>32371</v>
      </c>
      <c r="S154" s="9">
        <v>238755</v>
      </c>
      <c r="T154" s="6">
        <v>155.88</v>
      </c>
      <c r="U154" s="6">
        <v>211.882</v>
      </c>
      <c r="V154" s="6">
        <v>55.978</v>
      </c>
      <c r="W154" s="6">
        <v>146.358</v>
      </c>
      <c r="X154" s="6">
        <v>9.522</v>
      </c>
      <c r="Y154" s="6">
        <v>73.3113973333333</v>
      </c>
      <c r="Z154" s="10">
        <f t="shared" si="4"/>
        <v>73.3113973333333</v>
      </c>
      <c r="AA154" s="11">
        <f t="shared" si="5"/>
        <v>0</v>
      </c>
      <c r="AB154" s="5" t="s">
        <v>442</v>
      </c>
    </row>
    <row r="155" spans="1:28">
      <c r="A155" s="5">
        <v>8</v>
      </c>
      <c r="B155" s="5" t="s">
        <v>248</v>
      </c>
      <c r="C155" s="5" t="s">
        <v>270</v>
      </c>
      <c r="D155" s="5">
        <v>26</v>
      </c>
      <c r="E155" s="6">
        <v>100</v>
      </c>
      <c r="F155" s="6">
        <v>78.22</v>
      </c>
      <c r="G155" s="6">
        <v>87.78</v>
      </c>
      <c r="H155" s="6">
        <v>81.818</v>
      </c>
      <c r="I155" s="6">
        <v>72</v>
      </c>
      <c r="J155" s="6">
        <v>76.596</v>
      </c>
      <c r="K155" s="6">
        <v>60.255785</v>
      </c>
      <c r="L155" s="7">
        <v>0.967726</v>
      </c>
      <c r="M155" s="7">
        <v>0.554985</v>
      </c>
      <c r="N155" s="7">
        <v>0.514403</v>
      </c>
      <c r="O155" s="6">
        <v>227.22</v>
      </c>
      <c r="P155" s="8">
        <v>0.25239075</v>
      </c>
      <c r="Q155" s="9">
        <v>124829</v>
      </c>
      <c r="R155" s="9">
        <v>35282</v>
      </c>
      <c r="S155" s="9">
        <v>160111</v>
      </c>
      <c r="T155" s="6">
        <v>227.22</v>
      </c>
      <c r="U155" s="6">
        <v>292.005</v>
      </c>
      <c r="V155" s="6">
        <v>64.764</v>
      </c>
      <c r="W155" s="6">
        <v>216.333</v>
      </c>
      <c r="X155" s="6">
        <v>10.887</v>
      </c>
      <c r="Y155" s="6">
        <v>74.8772616666667</v>
      </c>
      <c r="Z155" s="10">
        <f t="shared" si="4"/>
        <v>74.8772616666667</v>
      </c>
      <c r="AA155" s="11">
        <f t="shared" si="5"/>
        <v>0</v>
      </c>
      <c r="AB155" s="5" t="s">
        <v>443</v>
      </c>
    </row>
    <row r="156" spans="1:28">
      <c r="A156" s="5">
        <v>8</v>
      </c>
      <c r="B156" s="5" t="s">
        <v>248</v>
      </c>
      <c r="C156" s="5" t="s">
        <v>270</v>
      </c>
      <c r="D156" s="5">
        <v>29</v>
      </c>
      <c r="E156" s="6">
        <v>100</v>
      </c>
      <c r="F156" s="6">
        <v>69.01</v>
      </c>
      <c r="G156" s="6">
        <v>81.67</v>
      </c>
      <c r="H156" s="6">
        <v>100</v>
      </c>
      <c r="I156" s="6">
        <v>62.5</v>
      </c>
      <c r="J156" s="6">
        <v>76.923</v>
      </c>
      <c r="K156" s="6">
        <v>84.851582</v>
      </c>
      <c r="L156" s="7">
        <v>0.946667</v>
      </c>
      <c r="M156" s="7">
        <v>0.757168</v>
      </c>
      <c r="N156" s="7">
        <v>0.907834</v>
      </c>
      <c r="O156" s="6">
        <v>197.434</v>
      </c>
      <c r="P156" s="8">
        <v>0.2756865</v>
      </c>
      <c r="Q156" s="9">
        <v>157528</v>
      </c>
      <c r="R156" s="9">
        <v>35009</v>
      </c>
      <c r="S156" s="9">
        <v>192537</v>
      </c>
      <c r="T156" s="6">
        <v>197.434</v>
      </c>
      <c r="U156" s="6">
        <v>259.17</v>
      </c>
      <c r="V156" s="6">
        <v>61.712</v>
      </c>
      <c r="W156" s="6">
        <v>185.864</v>
      </c>
      <c r="X156" s="6">
        <v>11.57</v>
      </c>
      <c r="Y156" s="6">
        <v>81.148194</v>
      </c>
      <c r="Z156" s="10">
        <f t="shared" si="4"/>
        <v>81.148194</v>
      </c>
      <c r="AA156" s="11">
        <f t="shared" si="5"/>
        <v>0</v>
      </c>
      <c r="AB156" s="5" t="s">
        <v>444</v>
      </c>
    </row>
    <row r="157" spans="1:28">
      <c r="A157" s="5">
        <v>8</v>
      </c>
      <c r="B157" s="5" t="s">
        <v>248</v>
      </c>
      <c r="C157" s="5" t="s">
        <v>270</v>
      </c>
      <c r="D157" s="5">
        <v>44</v>
      </c>
      <c r="E157" s="6">
        <v>100</v>
      </c>
      <c r="F157" s="6">
        <v>67.2</v>
      </c>
      <c r="G157" s="6">
        <v>80.38</v>
      </c>
      <c r="H157" s="6">
        <v>84</v>
      </c>
      <c r="I157" s="6">
        <v>39.623</v>
      </c>
      <c r="J157" s="6">
        <v>53.846</v>
      </c>
      <c r="K157" s="6">
        <v>71.544624</v>
      </c>
      <c r="L157" s="7">
        <v>0.843836</v>
      </c>
      <c r="M157" s="7">
        <v>0.64334</v>
      </c>
      <c r="N157" s="7">
        <v>0.867647</v>
      </c>
      <c r="O157" s="6">
        <v>492.394</v>
      </c>
      <c r="P157" s="8">
        <v>0.2802345</v>
      </c>
      <c r="Q157" s="9">
        <v>135524</v>
      </c>
      <c r="R157" s="9">
        <v>39687</v>
      </c>
      <c r="S157" s="9">
        <v>175211</v>
      </c>
      <c r="T157" s="6">
        <v>492.394</v>
      </c>
      <c r="U157" s="6">
        <v>584.766</v>
      </c>
      <c r="V157" s="6">
        <v>92.348</v>
      </c>
      <c r="W157" s="6">
        <v>481.097</v>
      </c>
      <c r="X157" s="6">
        <v>11.297</v>
      </c>
      <c r="Y157" s="6">
        <v>68.590208</v>
      </c>
      <c r="Z157" s="10">
        <f t="shared" si="4"/>
        <v>68.590208</v>
      </c>
      <c r="AA157" s="11">
        <f t="shared" si="5"/>
        <v>0</v>
      </c>
      <c r="AB157" s="5" t="s">
        <v>445</v>
      </c>
    </row>
    <row r="158" spans="1:28">
      <c r="A158" s="5">
        <v>8</v>
      </c>
      <c r="B158" s="5" t="s">
        <v>248</v>
      </c>
      <c r="C158" s="5" t="s">
        <v>270</v>
      </c>
      <c r="D158" s="5">
        <v>52</v>
      </c>
      <c r="E158" s="6">
        <v>98.21</v>
      </c>
      <c r="F158" s="6">
        <v>73.08</v>
      </c>
      <c r="G158" s="6">
        <v>83.8</v>
      </c>
      <c r="H158" s="6">
        <v>73.913</v>
      </c>
      <c r="I158" s="6">
        <v>70.833</v>
      </c>
      <c r="J158" s="6">
        <v>72.34</v>
      </c>
      <c r="K158" s="6">
        <v>64.129206</v>
      </c>
      <c r="L158" s="7">
        <v>0.652569</v>
      </c>
      <c r="M158" s="7">
        <v>0.406923</v>
      </c>
      <c r="N158" s="7">
        <v>0.892116</v>
      </c>
      <c r="O158" s="6">
        <v>162.227</v>
      </c>
      <c r="P158" s="8">
        <v>0.26415975</v>
      </c>
      <c r="Q158" s="9">
        <v>138583</v>
      </c>
      <c r="R158" s="9">
        <v>35605</v>
      </c>
      <c r="S158" s="9">
        <v>174188</v>
      </c>
      <c r="T158" s="6">
        <v>162.227</v>
      </c>
      <c r="U158" s="6">
        <v>232.793</v>
      </c>
      <c r="V158" s="6">
        <v>70.551</v>
      </c>
      <c r="W158" s="6">
        <v>148.143</v>
      </c>
      <c r="X158" s="6">
        <v>14.084</v>
      </c>
      <c r="Y158" s="6">
        <v>73.4230686666667</v>
      </c>
      <c r="Z158" s="10">
        <f t="shared" si="4"/>
        <v>73.4230686666667</v>
      </c>
      <c r="AA158" s="11">
        <f t="shared" si="5"/>
        <v>0</v>
      </c>
      <c r="AB158" s="5" t="s">
        <v>446</v>
      </c>
    </row>
    <row r="159" spans="1:28">
      <c r="A159" s="5">
        <v>8</v>
      </c>
      <c r="B159" s="5" t="s">
        <v>248</v>
      </c>
      <c r="C159" s="5" t="s">
        <v>270</v>
      </c>
      <c r="D159" s="5">
        <v>53</v>
      </c>
      <c r="E159" s="6">
        <v>98.08</v>
      </c>
      <c r="F159" s="6">
        <v>85.48</v>
      </c>
      <c r="G159" s="6">
        <v>91.35</v>
      </c>
      <c r="H159" s="6">
        <v>79.167</v>
      </c>
      <c r="I159" s="6">
        <v>61.29</v>
      </c>
      <c r="J159" s="6">
        <v>69.091</v>
      </c>
      <c r="K159" s="6">
        <v>71.586811</v>
      </c>
      <c r="L159" s="7">
        <v>0.671386</v>
      </c>
      <c r="M159" s="7">
        <v>0.798207</v>
      </c>
      <c r="N159" s="7">
        <v>0.578652</v>
      </c>
      <c r="O159" s="6">
        <v>166.515</v>
      </c>
      <c r="P159" s="8">
        <v>0.26027325</v>
      </c>
      <c r="Q159" s="9">
        <v>139089</v>
      </c>
      <c r="R159" s="9">
        <v>34657</v>
      </c>
      <c r="S159" s="9">
        <v>173746</v>
      </c>
      <c r="T159" s="6">
        <v>166.515</v>
      </c>
      <c r="U159" s="6">
        <v>247.918</v>
      </c>
      <c r="V159" s="6">
        <v>81.385</v>
      </c>
      <c r="W159" s="6">
        <v>155.503</v>
      </c>
      <c r="X159" s="6">
        <v>11.012</v>
      </c>
      <c r="Y159" s="6">
        <v>77.3426036666667</v>
      </c>
      <c r="Z159" s="10">
        <f t="shared" si="4"/>
        <v>77.3426036666667</v>
      </c>
      <c r="AA159" s="11">
        <f t="shared" si="5"/>
        <v>0</v>
      </c>
      <c r="AB159" s="5" t="s">
        <v>447</v>
      </c>
    </row>
    <row r="160" spans="1:28">
      <c r="A160" s="5">
        <v>8</v>
      </c>
      <c r="B160" s="5" t="s">
        <v>248</v>
      </c>
      <c r="C160" s="5" t="s">
        <v>270</v>
      </c>
      <c r="D160" s="5">
        <v>145</v>
      </c>
      <c r="E160" s="6">
        <v>100</v>
      </c>
      <c r="F160" s="6">
        <v>78.95</v>
      </c>
      <c r="G160" s="6">
        <v>88.24</v>
      </c>
      <c r="H160" s="6">
        <v>85.714</v>
      </c>
      <c r="I160" s="6">
        <v>63.158</v>
      </c>
      <c r="J160" s="6">
        <v>72.727</v>
      </c>
      <c r="K160" s="6">
        <v>80.65505</v>
      </c>
      <c r="L160" s="7">
        <v>0.720546</v>
      </c>
      <c r="M160" s="7">
        <v>0.833032</v>
      </c>
      <c r="N160" s="7">
        <v>0.775862</v>
      </c>
      <c r="O160" s="6">
        <v>180.99</v>
      </c>
      <c r="P160" s="8">
        <v>0.2891355</v>
      </c>
      <c r="Q160" s="9">
        <v>163502</v>
      </c>
      <c r="R160" s="9">
        <v>37002</v>
      </c>
      <c r="S160" s="9">
        <v>200504</v>
      </c>
      <c r="T160" s="6">
        <v>180.99</v>
      </c>
      <c r="U160" s="6">
        <v>242.211</v>
      </c>
      <c r="V160" s="6">
        <v>61.198</v>
      </c>
      <c r="W160" s="6">
        <v>168.452</v>
      </c>
      <c r="X160" s="6">
        <v>12.538</v>
      </c>
      <c r="Y160" s="6">
        <v>80.5406833333333</v>
      </c>
      <c r="Z160" s="10">
        <f t="shared" si="4"/>
        <v>80.5406833333333</v>
      </c>
      <c r="AA160" s="11">
        <f t="shared" si="5"/>
        <v>0</v>
      </c>
      <c r="AB160" s="5" t="s">
        <v>448</v>
      </c>
    </row>
    <row r="161" spans="1:28">
      <c r="A161" s="5">
        <v>8</v>
      </c>
      <c r="B161" s="5" t="s">
        <v>248</v>
      </c>
      <c r="C161" s="5" t="s">
        <v>270</v>
      </c>
      <c r="D161" s="5">
        <v>147</v>
      </c>
      <c r="E161" s="6">
        <v>100</v>
      </c>
      <c r="F161" s="6">
        <v>93.1</v>
      </c>
      <c r="G161" s="6">
        <v>96.43</v>
      </c>
      <c r="H161" s="6">
        <v>90.909</v>
      </c>
      <c r="I161" s="6">
        <v>58.824</v>
      </c>
      <c r="J161" s="6">
        <v>71.429</v>
      </c>
      <c r="K161" s="6">
        <v>49.967084</v>
      </c>
      <c r="L161" s="7">
        <v>0.609365</v>
      </c>
      <c r="M161" s="7">
        <v>0.520138</v>
      </c>
      <c r="N161" s="7">
        <v>0.402878</v>
      </c>
      <c r="O161" s="6">
        <v>117.212</v>
      </c>
      <c r="P161" s="8">
        <v>0.15519525</v>
      </c>
      <c r="Q161" s="9">
        <v>97115</v>
      </c>
      <c r="R161" s="9">
        <v>18302</v>
      </c>
      <c r="S161" s="9">
        <v>115417</v>
      </c>
      <c r="T161" s="6">
        <v>117.212</v>
      </c>
      <c r="U161" s="6">
        <v>146.641</v>
      </c>
      <c r="V161" s="6">
        <v>29.403</v>
      </c>
      <c r="W161" s="6">
        <v>105.398</v>
      </c>
      <c r="X161" s="6">
        <v>11.814</v>
      </c>
      <c r="Y161" s="6">
        <v>72.6086946666667</v>
      </c>
      <c r="Z161" s="10">
        <f t="shared" si="4"/>
        <v>72.6086946666667</v>
      </c>
      <c r="AA161" s="11">
        <f t="shared" si="5"/>
        <v>0</v>
      </c>
      <c r="AB161" s="5" t="s">
        <v>449</v>
      </c>
    </row>
    <row r="162" spans="1:28">
      <c r="A162" s="5">
        <v>9</v>
      </c>
      <c r="B162" s="5" t="s">
        <v>249</v>
      </c>
      <c r="C162" s="5" t="s">
        <v>271</v>
      </c>
      <c r="D162" s="5">
        <v>1</v>
      </c>
      <c r="E162" s="6">
        <v>100</v>
      </c>
      <c r="F162" s="6">
        <v>64.81</v>
      </c>
      <c r="G162" s="6">
        <v>78.65</v>
      </c>
      <c r="H162" s="6">
        <v>73.333</v>
      </c>
      <c r="I162" s="6">
        <v>68.75</v>
      </c>
      <c r="J162" s="6">
        <v>70.968</v>
      </c>
      <c r="K162" s="6">
        <v>92.76748</v>
      </c>
      <c r="L162" s="7">
        <v>0.918807</v>
      </c>
      <c r="M162" s="7">
        <v>0.835254</v>
      </c>
      <c r="N162" s="7">
        <v>0.982014</v>
      </c>
      <c r="O162" s="6">
        <v>437.74</v>
      </c>
      <c r="P162" s="8">
        <v>0.0887649</v>
      </c>
      <c r="Q162" s="9">
        <v>121237</v>
      </c>
      <c r="R162" s="9">
        <v>51614</v>
      </c>
      <c r="S162" s="9">
        <v>172851</v>
      </c>
      <c r="T162" s="6">
        <v>437.74</v>
      </c>
      <c r="U162" s="6">
        <v>586.116</v>
      </c>
      <c r="V162" s="6">
        <v>148.352</v>
      </c>
      <c r="W162" s="6">
        <v>409.05</v>
      </c>
      <c r="X162" s="6">
        <v>28.69</v>
      </c>
      <c r="Y162" s="6">
        <v>80.79516</v>
      </c>
      <c r="Z162" s="10">
        <f t="shared" si="4"/>
        <v>80.79516</v>
      </c>
      <c r="AA162" s="11">
        <f t="shared" si="5"/>
        <v>0</v>
      </c>
      <c r="AB162" s="5" t="s">
        <v>450</v>
      </c>
    </row>
    <row r="163" spans="1:28">
      <c r="A163" s="5">
        <v>9</v>
      </c>
      <c r="B163" s="5" t="s">
        <v>249</v>
      </c>
      <c r="C163" s="5" t="s">
        <v>271</v>
      </c>
      <c r="D163" s="5">
        <v>2</v>
      </c>
      <c r="E163" s="6">
        <v>100</v>
      </c>
      <c r="F163" s="6">
        <v>78.05</v>
      </c>
      <c r="G163" s="6">
        <v>87.67</v>
      </c>
      <c r="H163" s="6">
        <v>57.692</v>
      </c>
      <c r="I163" s="6">
        <v>71.429</v>
      </c>
      <c r="J163" s="6">
        <v>63.83</v>
      </c>
      <c r="K163" s="6">
        <v>84.972905</v>
      </c>
      <c r="L163" s="7">
        <v>0.947471</v>
      </c>
      <c r="M163" s="7">
        <v>0.659434</v>
      </c>
      <c r="N163" s="7">
        <v>0.982759</v>
      </c>
      <c r="O163" s="6">
        <v>290.739</v>
      </c>
      <c r="P163" s="8">
        <v>0.08148675</v>
      </c>
      <c r="Q163" s="9">
        <v>141140</v>
      </c>
      <c r="R163" s="9">
        <v>42607</v>
      </c>
      <c r="S163" s="9">
        <v>183747</v>
      </c>
      <c r="T163" s="6">
        <v>290.739</v>
      </c>
      <c r="U163" s="6">
        <v>496.67</v>
      </c>
      <c r="V163" s="6">
        <v>205.909</v>
      </c>
      <c r="W163" s="6">
        <v>260.812</v>
      </c>
      <c r="X163" s="6">
        <v>29.927</v>
      </c>
      <c r="Y163" s="6">
        <v>78.8243016666667</v>
      </c>
      <c r="Z163" s="10">
        <f t="shared" si="4"/>
        <v>78.8243016666667</v>
      </c>
      <c r="AA163" s="11">
        <f t="shared" si="5"/>
        <v>0</v>
      </c>
      <c r="AB163" s="5" t="s">
        <v>451</v>
      </c>
    </row>
    <row r="164" spans="1:28">
      <c r="A164" s="5">
        <v>9</v>
      </c>
      <c r="B164" s="5" t="s">
        <v>249</v>
      </c>
      <c r="C164" s="5" t="s">
        <v>271</v>
      </c>
      <c r="D164" s="5">
        <v>3</v>
      </c>
      <c r="E164" s="6">
        <v>100</v>
      </c>
      <c r="F164" s="6">
        <v>58.54</v>
      </c>
      <c r="G164" s="6">
        <v>73.85</v>
      </c>
      <c r="H164" s="6">
        <v>100</v>
      </c>
      <c r="I164" s="6">
        <v>82.143</v>
      </c>
      <c r="J164" s="6">
        <v>90.196</v>
      </c>
      <c r="K164" s="6">
        <v>93.534936</v>
      </c>
      <c r="L164" s="7">
        <v>0.920633</v>
      </c>
      <c r="M164" s="7">
        <v>0.859779</v>
      </c>
      <c r="N164" s="7">
        <v>0.994667</v>
      </c>
      <c r="O164" s="6">
        <v>648.633</v>
      </c>
      <c r="P164" s="8">
        <v>0.1157468</v>
      </c>
      <c r="Q164" s="9">
        <v>183484</v>
      </c>
      <c r="R164" s="9">
        <v>63240</v>
      </c>
      <c r="S164" s="9">
        <v>246724</v>
      </c>
      <c r="T164" s="6">
        <v>648.633</v>
      </c>
      <c r="U164" s="6">
        <v>787.021</v>
      </c>
      <c r="V164" s="6">
        <v>138.358</v>
      </c>
      <c r="W164" s="6">
        <v>599.576</v>
      </c>
      <c r="X164" s="6">
        <v>49.057</v>
      </c>
      <c r="Y164" s="6">
        <v>85.860312</v>
      </c>
      <c r="Z164" s="10">
        <f t="shared" si="4"/>
        <v>85.860312</v>
      </c>
      <c r="AA164" s="11">
        <f t="shared" si="5"/>
        <v>0</v>
      </c>
      <c r="AB164" s="5" t="s">
        <v>452</v>
      </c>
    </row>
    <row r="165" spans="1:28">
      <c r="A165" s="5">
        <v>9</v>
      </c>
      <c r="B165" s="5" t="s">
        <v>249</v>
      </c>
      <c r="C165" s="5" t="s">
        <v>271</v>
      </c>
      <c r="D165" s="5">
        <v>4</v>
      </c>
      <c r="E165" s="6">
        <v>100</v>
      </c>
      <c r="F165" s="6">
        <v>38</v>
      </c>
      <c r="G165" s="6">
        <v>55.07</v>
      </c>
      <c r="H165" s="6">
        <v>78.261</v>
      </c>
      <c r="I165" s="6">
        <v>54.545</v>
      </c>
      <c r="J165" s="6">
        <v>64.286</v>
      </c>
      <c r="K165" s="6">
        <v>83.187884</v>
      </c>
      <c r="L165" s="7">
        <v>0.782955</v>
      </c>
      <c r="M165" s="7">
        <v>0.647421</v>
      </c>
      <c r="N165" s="7">
        <v>0.955432</v>
      </c>
      <c r="O165" s="6">
        <v>544.976</v>
      </c>
      <c r="P165" s="8">
        <v>0.10319105</v>
      </c>
      <c r="Q165" s="9">
        <v>149224</v>
      </c>
      <c r="R165" s="9">
        <v>58677</v>
      </c>
      <c r="S165" s="9">
        <v>207901</v>
      </c>
      <c r="T165" s="6">
        <v>544.976</v>
      </c>
      <c r="U165" s="6">
        <v>639.735</v>
      </c>
      <c r="V165" s="6">
        <v>94.732</v>
      </c>
      <c r="W165" s="6">
        <v>496.419</v>
      </c>
      <c r="X165" s="6">
        <v>48.557</v>
      </c>
      <c r="Y165" s="6">
        <v>67.514628</v>
      </c>
      <c r="Z165" s="10">
        <f t="shared" si="4"/>
        <v>67.514628</v>
      </c>
      <c r="AA165" s="11">
        <f t="shared" si="5"/>
        <v>0</v>
      </c>
      <c r="AB165" s="5" t="s">
        <v>453</v>
      </c>
    </row>
    <row r="166" spans="1:28">
      <c r="A166" s="5">
        <v>9</v>
      </c>
      <c r="B166" s="5" t="s">
        <v>249</v>
      </c>
      <c r="C166" s="5" t="s">
        <v>271</v>
      </c>
      <c r="D166" s="5">
        <v>5</v>
      </c>
      <c r="E166" s="6">
        <v>100</v>
      </c>
      <c r="F166" s="6">
        <v>85.71</v>
      </c>
      <c r="G166" s="6">
        <v>92.31</v>
      </c>
      <c r="H166" s="6">
        <v>65.789</v>
      </c>
      <c r="I166" s="6">
        <v>67.568</v>
      </c>
      <c r="J166" s="6">
        <v>66.667</v>
      </c>
      <c r="K166" s="6">
        <v>71.652088</v>
      </c>
      <c r="L166" s="7">
        <v>0.70388</v>
      </c>
      <c r="M166" s="7">
        <v>0.523682</v>
      </c>
      <c r="N166" s="7">
        <v>0.878981</v>
      </c>
      <c r="O166" s="6">
        <v>208.851</v>
      </c>
      <c r="P166" s="8">
        <v>0.0726263</v>
      </c>
      <c r="Q166" s="9">
        <v>154219</v>
      </c>
      <c r="R166" s="9">
        <v>33426</v>
      </c>
      <c r="S166" s="9">
        <v>187645</v>
      </c>
      <c r="T166" s="6">
        <v>208.851</v>
      </c>
      <c r="U166" s="6">
        <v>377.534</v>
      </c>
      <c r="V166" s="6">
        <v>184.838</v>
      </c>
      <c r="W166" s="6">
        <v>168.661</v>
      </c>
      <c r="X166" s="6">
        <v>24.013</v>
      </c>
      <c r="Y166" s="6">
        <v>76.8763626666667</v>
      </c>
      <c r="Z166" s="10">
        <f t="shared" si="4"/>
        <v>76.8763626666667</v>
      </c>
      <c r="AA166" s="11">
        <f t="shared" si="5"/>
        <v>0</v>
      </c>
      <c r="AB166" s="5" t="s">
        <v>454</v>
      </c>
    </row>
    <row r="167" spans="1:28">
      <c r="A167" s="5">
        <v>9</v>
      </c>
      <c r="B167" s="5" t="s">
        <v>249</v>
      </c>
      <c r="C167" s="5" t="s">
        <v>271</v>
      </c>
      <c r="D167" s="5">
        <v>6</v>
      </c>
      <c r="E167" s="6">
        <v>100</v>
      </c>
      <c r="F167" s="6">
        <v>57.14</v>
      </c>
      <c r="G167" s="6">
        <v>72.73</v>
      </c>
      <c r="H167" s="6">
        <v>59.375</v>
      </c>
      <c r="I167" s="6">
        <v>79.167</v>
      </c>
      <c r="J167" s="6">
        <v>67.857</v>
      </c>
      <c r="K167" s="6">
        <v>75.509067</v>
      </c>
      <c r="L167" s="7">
        <v>0.802963</v>
      </c>
      <c r="M167" s="7">
        <v>0.52091</v>
      </c>
      <c r="N167" s="7">
        <v>0.989418</v>
      </c>
      <c r="O167" s="6">
        <v>263.107</v>
      </c>
      <c r="P167" s="8">
        <v>0.07563345</v>
      </c>
      <c r="Q167" s="9">
        <v>151336</v>
      </c>
      <c r="R167" s="9">
        <v>36293</v>
      </c>
      <c r="S167" s="9">
        <v>187629</v>
      </c>
      <c r="T167" s="6">
        <v>263.107</v>
      </c>
      <c r="U167" s="6">
        <v>451.471</v>
      </c>
      <c r="V167" s="6">
        <v>188.337</v>
      </c>
      <c r="W167" s="6">
        <v>242.356</v>
      </c>
      <c r="X167" s="6">
        <v>20.751</v>
      </c>
      <c r="Y167" s="6">
        <v>72.0320223333333</v>
      </c>
      <c r="Z167" s="10">
        <f t="shared" si="4"/>
        <v>72.0320223333333</v>
      </c>
      <c r="AA167" s="11">
        <f t="shared" si="5"/>
        <v>0</v>
      </c>
      <c r="AB167" s="5" t="s">
        <v>455</v>
      </c>
    </row>
    <row r="168" spans="1:28">
      <c r="A168" s="5">
        <v>9</v>
      </c>
      <c r="B168" s="5" t="s">
        <v>249</v>
      </c>
      <c r="C168" s="5" t="s">
        <v>271</v>
      </c>
      <c r="D168" s="5">
        <v>8</v>
      </c>
      <c r="E168" s="6">
        <v>100</v>
      </c>
      <c r="F168" s="6">
        <v>75.82</v>
      </c>
      <c r="G168" s="6">
        <v>86.25</v>
      </c>
      <c r="H168" s="6">
        <v>61.905</v>
      </c>
      <c r="I168" s="6">
        <v>72.222</v>
      </c>
      <c r="J168" s="6">
        <v>66.667</v>
      </c>
      <c r="K168" s="6">
        <v>86.186088</v>
      </c>
      <c r="L168" s="7">
        <v>0.816713</v>
      </c>
      <c r="M168" s="7">
        <v>0.737796</v>
      </c>
      <c r="N168" s="7">
        <v>0.957055</v>
      </c>
      <c r="O168" s="6">
        <v>217.676</v>
      </c>
      <c r="P168" s="8">
        <v>0.0645863</v>
      </c>
      <c r="Q168" s="9">
        <v>115419</v>
      </c>
      <c r="R168" s="9">
        <v>33202</v>
      </c>
      <c r="S168" s="9">
        <v>148621</v>
      </c>
      <c r="T168" s="6">
        <v>217.676</v>
      </c>
      <c r="U168" s="6">
        <v>342.445</v>
      </c>
      <c r="V168" s="6">
        <v>124.747</v>
      </c>
      <c r="W168" s="6">
        <v>197.533</v>
      </c>
      <c r="X168" s="6">
        <v>20.143</v>
      </c>
      <c r="Y168" s="6">
        <v>79.7010293333333</v>
      </c>
      <c r="Z168" s="10">
        <f t="shared" si="4"/>
        <v>79.7010293333333</v>
      </c>
      <c r="AA168" s="11">
        <f t="shared" si="5"/>
        <v>0</v>
      </c>
      <c r="AB168" s="5" t="s">
        <v>456</v>
      </c>
    </row>
    <row r="169" spans="1:28">
      <c r="A169" s="5">
        <v>9</v>
      </c>
      <c r="B169" s="5" t="s">
        <v>249</v>
      </c>
      <c r="C169" s="5" t="s">
        <v>271</v>
      </c>
      <c r="D169" s="5">
        <v>9</v>
      </c>
      <c r="E169" s="6">
        <v>100</v>
      </c>
      <c r="F169" s="6">
        <v>61.76</v>
      </c>
      <c r="G169" s="6">
        <v>76.36</v>
      </c>
      <c r="H169" s="6">
        <v>73.684</v>
      </c>
      <c r="I169" s="6">
        <v>46.667</v>
      </c>
      <c r="J169" s="6">
        <v>57.143</v>
      </c>
      <c r="K169" s="6">
        <v>89.530921</v>
      </c>
      <c r="L169" s="7">
        <v>0.847969</v>
      </c>
      <c r="M169" s="7">
        <v>0.820362</v>
      </c>
      <c r="N169" s="7">
        <v>0.993528</v>
      </c>
      <c r="O169" s="6">
        <v>449.443</v>
      </c>
      <c r="P169" s="8">
        <v>0.12028095</v>
      </c>
      <c r="Q169" s="9">
        <v>229411</v>
      </c>
      <c r="R169" s="9">
        <v>59519</v>
      </c>
      <c r="S169" s="9">
        <v>288930</v>
      </c>
      <c r="T169" s="6">
        <v>449.443</v>
      </c>
      <c r="U169" s="6">
        <v>692.561</v>
      </c>
      <c r="V169" s="6">
        <v>243.093</v>
      </c>
      <c r="W169" s="6">
        <v>395.084</v>
      </c>
      <c r="X169" s="6">
        <v>54.359</v>
      </c>
      <c r="Y169" s="6">
        <v>74.3446403333333</v>
      </c>
      <c r="Z169" s="10">
        <f t="shared" si="4"/>
        <v>74.3446403333333</v>
      </c>
      <c r="AA169" s="11">
        <f t="shared" si="5"/>
        <v>0</v>
      </c>
      <c r="AB169" s="5" t="s">
        <v>457</v>
      </c>
    </row>
    <row r="170" spans="1:28">
      <c r="A170" s="5">
        <v>9</v>
      </c>
      <c r="B170" s="5" t="s">
        <v>249</v>
      </c>
      <c r="C170" s="5" t="s">
        <v>271</v>
      </c>
      <c r="D170" s="5">
        <v>10</v>
      </c>
      <c r="E170" s="6">
        <v>100</v>
      </c>
      <c r="F170" s="6">
        <v>54.55</v>
      </c>
      <c r="G170" s="6">
        <v>70.59</v>
      </c>
      <c r="H170" s="6">
        <v>46.667</v>
      </c>
      <c r="I170" s="6">
        <v>100</v>
      </c>
      <c r="J170" s="6">
        <v>63.636</v>
      </c>
      <c r="K170" s="6">
        <v>92.615859</v>
      </c>
      <c r="L170" s="7">
        <v>0.918611</v>
      </c>
      <c r="M170" s="7">
        <v>0.824824</v>
      </c>
      <c r="N170" s="7">
        <v>0.983333</v>
      </c>
      <c r="O170" s="6">
        <v>391.087</v>
      </c>
      <c r="P170" s="8">
        <v>0.0937375</v>
      </c>
      <c r="Q170" s="9">
        <v>216150</v>
      </c>
      <c r="R170" s="9">
        <v>40406</v>
      </c>
      <c r="S170" s="9">
        <v>256556</v>
      </c>
      <c r="T170" s="6">
        <v>391.087</v>
      </c>
      <c r="U170" s="6">
        <v>537.452</v>
      </c>
      <c r="V170" s="6">
        <v>146.34</v>
      </c>
      <c r="W170" s="6">
        <v>364.755</v>
      </c>
      <c r="X170" s="6">
        <v>26.332</v>
      </c>
      <c r="Y170" s="6">
        <v>75.613953</v>
      </c>
      <c r="Z170" s="10">
        <f t="shared" si="4"/>
        <v>75.613953</v>
      </c>
      <c r="AA170" s="11">
        <f t="shared" si="5"/>
        <v>0</v>
      </c>
      <c r="AB170" s="5" t="s">
        <v>458</v>
      </c>
    </row>
    <row r="171" spans="1:28">
      <c r="A171" s="5">
        <v>9</v>
      </c>
      <c r="B171" s="5" t="s">
        <v>249</v>
      </c>
      <c r="C171" s="5" t="s">
        <v>271</v>
      </c>
      <c r="D171" s="5">
        <v>12</v>
      </c>
      <c r="E171" s="6">
        <v>100</v>
      </c>
      <c r="F171" s="6">
        <v>64.52</v>
      </c>
      <c r="G171" s="6">
        <v>78.43</v>
      </c>
      <c r="H171" s="6">
        <v>100</v>
      </c>
      <c r="I171" s="6">
        <v>41.176</v>
      </c>
      <c r="J171" s="6">
        <v>58.333</v>
      </c>
      <c r="K171" s="6">
        <v>70.812794</v>
      </c>
      <c r="L171" s="7">
        <v>0.73527</v>
      </c>
      <c r="M171" s="7">
        <v>0.600559</v>
      </c>
      <c r="N171" s="7">
        <v>0.845588</v>
      </c>
      <c r="O171" s="6">
        <v>183.606</v>
      </c>
      <c r="P171" s="8">
        <v>0.07101855</v>
      </c>
      <c r="Q171" s="9">
        <v>169099</v>
      </c>
      <c r="R171" s="9">
        <v>29759</v>
      </c>
      <c r="S171" s="9">
        <v>198858</v>
      </c>
      <c r="T171" s="6">
        <v>183.606</v>
      </c>
      <c r="U171" s="6">
        <v>317.067</v>
      </c>
      <c r="V171" s="6">
        <v>133.441</v>
      </c>
      <c r="W171" s="6">
        <v>156.083</v>
      </c>
      <c r="X171" s="6">
        <v>27.523</v>
      </c>
      <c r="Y171" s="6">
        <v>69.1919313333333</v>
      </c>
      <c r="Z171" s="10">
        <f t="shared" si="4"/>
        <v>69.1919313333333</v>
      </c>
      <c r="AA171" s="11">
        <f t="shared" si="5"/>
        <v>0</v>
      </c>
      <c r="AB171" s="5" t="s">
        <v>459</v>
      </c>
    </row>
    <row r="172" spans="1:28">
      <c r="A172" s="5">
        <v>9</v>
      </c>
      <c r="B172" s="5" t="s">
        <v>249</v>
      </c>
      <c r="C172" s="5" t="s">
        <v>271</v>
      </c>
      <c r="D172" s="5">
        <v>20</v>
      </c>
      <c r="E172" s="6">
        <v>100</v>
      </c>
      <c r="F172" s="6">
        <v>70.97</v>
      </c>
      <c r="G172" s="6">
        <v>83.02</v>
      </c>
      <c r="H172" s="6">
        <v>67.857</v>
      </c>
      <c r="I172" s="6">
        <v>61.29</v>
      </c>
      <c r="J172" s="6">
        <v>64.407</v>
      </c>
      <c r="K172" s="6">
        <v>81.78144</v>
      </c>
      <c r="L172" s="7">
        <v>0.757229</v>
      </c>
      <c r="M172" s="7">
        <v>0.694851</v>
      </c>
      <c r="N172" s="7">
        <v>0.951557</v>
      </c>
      <c r="O172" s="6">
        <v>385.343</v>
      </c>
      <c r="P172" s="8">
        <v>0.0972334</v>
      </c>
      <c r="Q172" s="9">
        <v>156067</v>
      </c>
      <c r="R172" s="9">
        <v>52816</v>
      </c>
      <c r="S172" s="9">
        <v>208883</v>
      </c>
      <c r="T172" s="6">
        <v>385.343</v>
      </c>
      <c r="U172" s="6">
        <v>556.999</v>
      </c>
      <c r="V172" s="6">
        <v>171.627</v>
      </c>
      <c r="W172" s="6">
        <v>345.765</v>
      </c>
      <c r="X172" s="6">
        <v>39.578</v>
      </c>
      <c r="Y172" s="6">
        <v>76.4028133333333</v>
      </c>
      <c r="Z172" s="10">
        <f t="shared" si="4"/>
        <v>76.4028133333333</v>
      </c>
      <c r="AA172" s="11">
        <f t="shared" si="5"/>
        <v>0</v>
      </c>
      <c r="AB172" s="5" t="s">
        <v>460</v>
      </c>
    </row>
    <row r="173" spans="1:28">
      <c r="A173" s="5">
        <v>9</v>
      </c>
      <c r="B173" s="5" t="s">
        <v>249</v>
      </c>
      <c r="C173" s="5" t="s">
        <v>271</v>
      </c>
      <c r="D173" s="5">
        <v>22</v>
      </c>
      <c r="E173" s="6">
        <v>100</v>
      </c>
      <c r="F173" s="6">
        <v>76.27</v>
      </c>
      <c r="G173" s="6">
        <v>86.54</v>
      </c>
      <c r="H173" s="6">
        <v>73.333</v>
      </c>
      <c r="I173" s="6">
        <v>84.615</v>
      </c>
      <c r="J173" s="6">
        <v>78.571</v>
      </c>
      <c r="K173" s="6">
        <v>84.226088</v>
      </c>
      <c r="L173" s="7">
        <v>0.888229</v>
      </c>
      <c r="M173" s="7">
        <v>0.733823</v>
      </c>
      <c r="N173" s="7">
        <v>0.96875</v>
      </c>
      <c r="O173" s="6">
        <v>209.185</v>
      </c>
      <c r="P173" s="8">
        <v>0.06475415</v>
      </c>
      <c r="Q173" s="9">
        <v>136327</v>
      </c>
      <c r="R173" s="9">
        <v>29991</v>
      </c>
      <c r="S173" s="9">
        <v>166318</v>
      </c>
      <c r="T173" s="6">
        <v>209.185</v>
      </c>
      <c r="U173" s="6">
        <v>324.02</v>
      </c>
      <c r="V173" s="6">
        <v>114.815</v>
      </c>
      <c r="W173" s="6">
        <v>189.695</v>
      </c>
      <c r="X173" s="6">
        <v>19.49</v>
      </c>
      <c r="Y173" s="6">
        <v>83.1123626666667</v>
      </c>
      <c r="Z173" s="10">
        <f t="shared" si="4"/>
        <v>83.1123626666667</v>
      </c>
      <c r="AA173" s="11">
        <f t="shared" si="5"/>
        <v>0</v>
      </c>
      <c r="AB173" s="5" t="s">
        <v>461</v>
      </c>
    </row>
    <row r="174" spans="1:28">
      <c r="A174" s="5">
        <v>9</v>
      </c>
      <c r="B174" s="5" t="s">
        <v>249</v>
      </c>
      <c r="C174" s="5" t="s">
        <v>271</v>
      </c>
      <c r="D174" s="5">
        <v>24</v>
      </c>
      <c r="E174" s="6">
        <v>100</v>
      </c>
      <c r="F174" s="6">
        <v>59.46</v>
      </c>
      <c r="G174" s="6">
        <v>74.58</v>
      </c>
      <c r="H174" s="6">
        <v>64.286</v>
      </c>
      <c r="I174" s="6">
        <v>36</v>
      </c>
      <c r="J174" s="6">
        <v>46.154</v>
      </c>
      <c r="K174" s="6">
        <v>69.003957</v>
      </c>
      <c r="L174" s="7">
        <v>0.649051</v>
      </c>
      <c r="M174" s="7">
        <v>0.474591</v>
      </c>
      <c r="N174" s="7">
        <v>0.894009</v>
      </c>
      <c r="O174" s="6">
        <v>299.88</v>
      </c>
      <c r="P174" s="8">
        <v>0.08781905</v>
      </c>
      <c r="Q174" s="9">
        <v>208239</v>
      </c>
      <c r="R174" s="9">
        <v>36937</v>
      </c>
      <c r="S174" s="9">
        <v>245176</v>
      </c>
      <c r="T174" s="6">
        <v>299.88</v>
      </c>
      <c r="U174" s="6">
        <v>424.048</v>
      </c>
      <c r="V174" s="6">
        <v>124.142</v>
      </c>
      <c r="W174" s="6">
        <v>272.459</v>
      </c>
      <c r="X174" s="6">
        <v>27.421</v>
      </c>
      <c r="Y174" s="6">
        <v>63.2459856666667</v>
      </c>
      <c r="Z174" s="10">
        <f t="shared" si="4"/>
        <v>63.2459856666667</v>
      </c>
      <c r="AA174" s="11">
        <f t="shared" si="5"/>
        <v>0</v>
      </c>
      <c r="AB174" s="5" t="s">
        <v>462</v>
      </c>
    </row>
    <row r="175" spans="1:28">
      <c r="A175" s="5">
        <v>9</v>
      </c>
      <c r="B175" s="5" t="s">
        <v>249</v>
      </c>
      <c r="C175" s="5" t="s">
        <v>271</v>
      </c>
      <c r="D175" s="5">
        <v>26</v>
      </c>
      <c r="E175" s="6">
        <v>100</v>
      </c>
      <c r="F175" s="6">
        <v>35.64</v>
      </c>
      <c r="G175" s="6">
        <v>52.55</v>
      </c>
      <c r="H175" s="6">
        <v>60.714</v>
      </c>
      <c r="I175" s="6">
        <v>68</v>
      </c>
      <c r="J175" s="6">
        <v>64.151</v>
      </c>
      <c r="K175" s="6">
        <v>82.693587</v>
      </c>
      <c r="L175" s="7">
        <v>0.797083</v>
      </c>
      <c r="M175" s="7">
        <v>0.772535</v>
      </c>
      <c r="N175" s="7">
        <v>0.933333</v>
      </c>
      <c r="O175" s="6">
        <v>190.811</v>
      </c>
      <c r="P175" s="8">
        <v>0.05732455</v>
      </c>
      <c r="Q175" s="9">
        <v>117329</v>
      </c>
      <c r="R175" s="9">
        <v>27087</v>
      </c>
      <c r="S175" s="9">
        <v>144416</v>
      </c>
      <c r="T175" s="6">
        <v>190.811</v>
      </c>
      <c r="U175" s="6">
        <v>308.925</v>
      </c>
      <c r="V175" s="6">
        <v>118.094</v>
      </c>
      <c r="W175" s="6">
        <v>171.99</v>
      </c>
      <c r="X175" s="6">
        <v>18.821</v>
      </c>
      <c r="Y175" s="6">
        <v>66.4648623333333</v>
      </c>
      <c r="Z175" s="10">
        <f t="shared" si="4"/>
        <v>66.4648623333333</v>
      </c>
      <c r="AA175" s="11">
        <f t="shared" si="5"/>
        <v>0</v>
      </c>
      <c r="AB175" s="5" t="s">
        <v>463</v>
      </c>
    </row>
    <row r="176" spans="1:28">
      <c r="A176" s="5">
        <v>9</v>
      </c>
      <c r="B176" s="5" t="s">
        <v>249</v>
      </c>
      <c r="C176" s="5" t="s">
        <v>271</v>
      </c>
      <c r="D176" s="5">
        <v>29</v>
      </c>
      <c r="E176" s="6">
        <v>100</v>
      </c>
      <c r="F176" s="6">
        <v>57.75</v>
      </c>
      <c r="G176" s="6">
        <v>73.21</v>
      </c>
      <c r="H176" s="6">
        <v>77.778</v>
      </c>
      <c r="I176" s="6">
        <v>87.5</v>
      </c>
      <c r="J176" s="6">
        <v>82.353</v>
      </c>
      <c r="K176" s="6">
        <v>89.019512</v>
      </c>
      <c r="L176" s="7">
        <v>0.894601</v>
      </c>
      <c r="M176" s="7">
        <v>0.756932</v>
      </c>
      <c r="N176" s="7">
        <v>0.986957</v>
      </c>
      <c r="O176" s="6">
        <v>301.349</v>
      </c>
      <c r="P176" s="8">
        <v>0.08632735</v>
      </c>
      <c r="Q176" s="9">
        <v>167818</v>
      </c>
      <c r="R176" s="9">
        <v>42211</v>
      </c>
      <c r="S176" s="9">
        <v>210029</v>
      </c>
      <c r="T176" s="6">
        <v>301.349</v>
      </c>
      <c r="U176" s="6">
        <v>459.423</v>
      </c>
      <c r="V176" s="6">
        <v>158.049</v>
      </c>
      <c r="W176" s="6">
        <v>266.579</v>
      </c>
      <c r="X176" s="6">
        <v>34.77</v>
      </c>
      <c r="Y176" s="6">
        <v>81.527504</v>
      </c>
      <c r="Z176" s="10">
        <f t="shared" si="4"/>
        <v>81.527504</v>
      </c>
      <c r="AA176" s="11">
        <f t="shared" si="5"/>
        <v>0</v>
      </c>
      <c r="AB176" s="5" t="s">
        <v>464</v>
      </c>
    </row>
    <row r="177" spans="1:28">
      <c r="A177" s="5">
        <v>9</v>
      </c>
      <c r="B177" s="5" t="s">
        <v>249</v>
      </c>
      <c r="C177" s="5" t="s">
        <v>271</v>
      </c>
      <c r="D177" s="5">
        <v>44</v>
      </c>
      <c r="E177" s="6">
        <v>100</v>
      </c>
      <c r="F177" s="6">
        <v>62.96</v>
      </c>
      <c r="G177" s="6">
        <v>77.27</v>
      </c>
      <c r="H177" s="6">
        <v>88.235</v>
      </c>
      <c r="I177" s="6">
        <v>28.302</v>
      </c>
      <c r="J177" s="6">
        <v>42.857</v>
      </c>
      <c r="K177" s="6">
        <v>84.404717</v>
      </c>
      <c r="L177" s="7">
        <v>0.785021</v>
      </c>
      <c r="M177" s="7">
        <v>0.949551</v>
      </c>
      <c r="N177" s="7">
        <v>0.868313</v>
      </c>
      <c r="O177" s="6">
        <v>287.08</v>
      </c>
      <c r="P177" s="8">
        <v>0.08686865</v>
      </c>
      <c r="Q177" s="9">
        <v>133287</v>
      </c>
      <c r="R177" s="9">
        <v>48169</v>
      </c>
      <c r="S177" s="9">
        <v>181456</v>
      </c>
      <c r="T177" s="6">
        <v>287.08</v>
      </c>
      <c r="U177" s="6">
        <v>525.299</v>
      </c>
      <c r="V177" s="6">
        <v>238.195</v>
      </c>
      <c r="W177" s="6">
        <v>261.23</v>
      </c>
      <c r="X177" s="6">
        <v>25.85</v>
      </c>
      <c r="Y177" s="6">
        <v>68.177239</v>
      </c>
      <c r="Z177" s="10">
        <f t="shared" si="4"/>
        <v>68.177239</v>
      </c>
      <c r="AA177" s="11">
        <f t="shared" si="5"/>
        <v>0</v>
      </c>
      <c r="AB177" s="5" t="s">
        <v>465</v>
      </c>
    </row>
    <row r="178" spans="1:28">
      <c r="A178" s="5">
        <v>9</v>
      </c>
      <c r="B178" s="5" t="s">
        <v>249</v>
      </c>
      <c r="C178" s="5" t="s">
        <v>271</v>
      </c>
      <c r="D178" s="5">
        <v>52</v>
      </c>
      <c r="E178" s="6">
        <v>100</v>
      </c>
      <c r="F178" s="6">
        <v>67.95</v>
      </c>
      <c r="G178" s="6">
        <v>80.92</v>
      </c>
      <c r="H178" s="6">
        <v>66.667</v>
      </c>
      <c r="I178" s="6">
        <v>66.667</v>
      </c>
      <c r="J178" s="6">
        <v>66.667</v>
      </c>
      <c r="K178" s="6">
        <v>91.233439</v>
      </c>
      <c r="L178" s="7">
        <v>0.895297</v>
      </c>
      <c r="M178" s="7">
        <v>0.785772</v>
      </c>
      <c r="N178" s="7">
        <v>0.979899</v>
      </c>
      <c r="O178" s="6">
        <v>239.359</v>
      </c>
      <c r="P178" s="8">
        <v>0.07361755</v>
      </c>
      <c r="Q178" s="9">
        <v>143219</v>
      </c>
      <c r="R178" s="9">
        <v>35979</v>
      </c>
      <c r="S178" s="9">
        <v>179198</v>
      </c>
      <c r="T178" s="6">
        <v>239.359</v>
      </c>
      <c r="U178" s="6">
        <v>381.406</v>
      </c>
      <c r="V178" s="6">
        <v>142.025</v>
      </c>
      <c r="W178" s="6">
        <v>217.542</v>
      </c>
      <c r="X178" s="6">
        <v>21.817</v>
      </c>
      <c r="Y178" s="6">
        <v>79.606813</v>
      </c>
      <c r="Z178" s="10">
        <f t="shared" si="4"/>
        <v>79.606813</v>
      </c>
      <c r="AA178" s="11">
        <f t="shared" si="5"/>
        <v>0</v>
      </c>
      <c r="AB178" s="5" t="s">
        <v>466</v>
      </c>
    </row>
    <row r="179" spans="1:28">
      <c r="A179" s="5">
        <v>9</v>
      </c>
      <c r="B179" s="5" t="s">
        <v>249</v>
      </c>
      <c r="C179" s="5" t="s">
        <v>271</v>
      </c>
      <c r="D179" s="5">
        <v>53</v>
      </c>
      <c r="E179" s="6">
        <v>100</v>
      </c>
      <c r="F179" s="6">
        <v>67.74</v>
      </c>
      <c r="G179" s="6">
        <v>80.77</v>
      </c>
      <c r="H179" s="6">
        <v>77.419</v>
      </c>
      <c r="I179" s="6">
        <v>77.419</v>
      </c>
      <c r="J179" s="6">
        <v>77.419</v>
      </c>
      <c r="K179" s="6">
        <v>87.079788</v>
      </c>
      <c r="L179" s="7">
        <v>0.86379</v>
      </c>
      <c r="M179" s="7">
        <v>0.764677</v>
      </c>
      <c r="N179" s="7">
        <v>0.903226</v>
      </c>
      <c r="O179" s="6">
        <v>244.748</v>
      </c>
      <c r="P179" s="8">
        <v>0.07522005</v>
      </c>
      <c r="Q179" s="9">
        <v>143169</v>
      </c>
      <c r="R179" s="9">
        <v>37269</v>
      </c>
      <c r="S179" s="9">
        <v>180438</v>
      </c>
      <c r="T179" s="6">
        <v>244.748</v>
      </c>
      <c r="U179" s="6">
        <v>418.662</v>
      </c>
      <c r="V179" s="6">
        <v>173.894</v>
      </c>
      <c r="W179" s="6">
        <v>219.273</v>
      </c>
      <c r="X179" s="6">
        <v>25.475</v>
      </c>
      <c r="Y179" s="6">
        <v>81.7562626666667</v>
      </c>
      <c r="Z179" s="10">
        <f t="shared" si="4"/>
        <v>81.7562626666667</v>
      </c>
      <c r="AA179" s="11">
        <f t="shared" si="5"/>
        <v>0</v>
      </c>
      <c r="AB179" s="5" t="s">
        <v>467</v>
      </c>
    </row>
    <row r="180" spans="1:28">
      <c r="A180" s="5">
        <v>9</v>
      </c>
      <c r="B180" s="5" t="s">
        <v>249</v>
      </c>
      <c r="C180" s="5" t="s">
        <v>271</v>
      </c>
      <c r="D180" s="5">
        <v>145</v>
      </c>
      <c r="E180" s="6">
        <v>96.88</v>
      </c>
      <c r="F180" s="6">
        <v>81.58</v>
      </c>
      <c r="G180" s="6">
        <v>88.57</v>
      </c>
      <c r="H180" s="6">
        <v>57.895</v>
      </c>
      <c r="I180" s="6">
        <v>57.895</v>
      </c>
      <c r="J180" s="6">
        <v>57.895</v>
      </c>
      <c r="K180" s="6">
        <v>79.114637</v>
      </c>
      <c r="L180" s="7">
        <v>0.732402</v>
      </c>
      <c r="M180" s="7">
        <v>0.788602</v>
      </c>
      <c r="N180" s="7">
        <v>0.752101</v>
      </c>
      <c r="O180" s="6">
        <v>281.985</v>
      </c>
      <c r="P180" s="8">
        <v>0.07767805</v>
      </c>
      <c r="Q180" s="9">
        <v>165759</v>
      </c>
      <c r="R180" s="9">
        <v>35621</v>
      </c>
      <c r="S180" s="9">
        <v>201380</v>
      </c>
      <c r="T180" s="6">
        <v>281.985</v>
      </c>
      <c r="U180" s="6">
        <v>417.32</v>
      </c>
      <c r="V180" s="6">
        <v>135.31</v>
      </c>
      <c r="W180" s="6">
        <v>251.492</v>
      </c>
      <c r="X180" s="6">
        <v>30.493</v>
      </c>
      <c r="Y180" s="6">
        <v>75.1932123333333</v>
      </c>
      <c r="Z180" s="10">
        <f t="shared" si="4"/>
        <v>75.1932123333333</v>
      </c>
      <c r="AA180" s="11">
        <f t="shared" si="5"/>
        <v>0</v>
      </c>
      <c r="AB180" s="5" t="s">
        <v>468</v>
      </c>
    </row>
    <row r="181" spans="1:28">
      <c r="A181" s="5">
        <v>9</v>
      </c>
      <c r="B181" s="5" t="s">
        <v>249</v>
      </c>
      <c r="C181" s="5" t="s">
        <v>271</v>
      </c>
      <c r="D181" s="5">
        <v>147</v>
      </c>
      <c r="E181" s="6">
        <v>100</v>
      </c>
      <c r="F181" s="6">
        <v>86.21</v>
      </c>
      <c r="G181" s="6">
        <v>92.59</v>
      </c>
      <c r="H181" s="6">
        <v>52.381</v>
      </c>
      <c r="I181" s="6">
        <v>64.706</v>
      </c>
      <c r="J181" s="6">
        <v>57.895</v>
      </c>
      <c r="K181" s="6">
        <v>87.144155</v>
      </c>
      <c r="L181" s="7">
        <v>0.739167</v>
      </c>
      <c r="M181" s="7">
        <v>0.778182</v>
      </c>
      <c r="N181" s="7">
        <v>0.964286</v>
      </c>
      <c r="O181" s="6">
        <v>169.134</v>
      </c>
      <c r="P181" s="8">
        <v>0.0504319</v>
      </c>
      <c r="Q181" s="9">
        <v>100347</v>
      </c>
      <c r="R181" s="9">
        <v>24290</v>
      </c>
      <c r="S181" s="9">
        <v>124637</v>
      </c>
      <c r="T181" s="6">
        <v>169.134</v>
      </c>
      <c r="U181" s="6">
        <v>266.016</v>
      </c>
      <c r="V181" s="6">
        <v>96.849</v>
      </c>
      <c r="W181" s="6">
        <v>148.086</v>
      </c>
      <c r="X181" s="6">
        <v>21.048</v>
      </c>
      <c r="Y181" s="6">
        <v>79.2097183333333</v>
      </c>
      <c r="Z181" s="10">
        <f t="shared" si="4"/>
        <v>79.2097183333333</v>
      </c>
      <c r="AA181" s="11">
        <f t="shared" si="5"/>
        <v>0</v>
      </c>
      <c r="AB181" s="5" t="s">
        <v>469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showGridLines="0" workbookViewId="0">
      <selection activeCell="A1" sqref="A1"/>
    </sheetView>
  </sheetViews>
  <sheetFormatPr defaultColWidth="9" defaultRowHeight="14.4" outlineLevelCol="5"/>
  <cols>
    <col min="1" max="1" width="23" customWidth="1"/>
    <col min="2" max="2" width="31" customWidth="1"/>
    <col min="3" max="3" width="13" customWidth="1"/>
    <col min="4" max="4" width="23" customWidth="1"/>
    <col min="5" max="5" width="63" customWidth="1"/>
    <col min="6" max="6" width="38" customWidth="1"/>
  </cols>
  <sheetData>
    <row r="1" ht="34" customHeight="1" spans="1:6">
      <c r="A1" s="1" t="s">
        <v>470</v>
      </c>
      <c r="B1" s="2" t="s">
        <v>471</v>
      </c>
      <c r="C1" s="2" t="s">
        <v>472</v>
      </c>
      <c r="D1" s="2" t="s">
        <v>473</v>
      </c>
      <c r="E1" s="2" t="s">
        <v>474</v>
      </c>
      <c r="F1" s="3" t="s">
        <v>475</v>
      </c>
    </row>
    <row r="2" ht="31" customHeight="1" spans="1:6">
      <c r="A2" s="4" t="s">
        <v>476</v>
      </c>
      <c r="B2" s="4" t="s">
        <v>477</v>
      </c>
      <c r="C2" s="4" t="s">
        <v>478</v>
      </c>
      <c r="D2" s="4" t="s">
        <v>479</v>
      </c>
      <c r="E2" s="4" t="s">
        <v>480</v>
      </c>
      <c r="F2" s="4" t="s">
        <v>481</v>
      </c>
    </row>
    <row r="3" ht="31" customHeight="1" spans="1:6">
      <c r="A3" s="4" t="s">
        <v>9</v>
      </c>
      <c r="B3" s="4" t="s">
        <v>35</v>
      </c>
      <c r="C3" s="4" t="s">
        <v>482</v>
      </c>
      <c r="D3" s="4" t="s">
        <v>483</v>
      </c>
      <c r="E3" s="4" t="s">
        <v>484</v>
      </c>
      <c r="F3" s="4" t="s">
        <v>485</v>
      </c>
    </row>
    <row r="4" ht="31" customHeight="1" spans="1:6">
      <c r="A4" s="4" t="s">
        <v>9</v>
      </c>
      <c r="B4" s="4" t="s">
        <v>36</v>
      </c>
      <c r="C4" s="4" t="s">
        <v>482</v>
      </c>
      <c r="D4" s="4" t="s">
        <v>486</v>
      </c>
      <c r="E4" s="4" t="s">
        <v>487</v>
      </c>
      <c r="F4" s="4" t="s">
        <v>488</v>
      </c>
    </row>
    <row r="5" ht="31" customHeight="1" spans="1:6">
      <c r="A5" s="4" t="s">
        <v>9</v>
      </c>
      <c r="B5" s="4" t="s">
        <v>60</v>
      </c>
      <c r="C5" s="4" t="s">
        <v>489</v>
      </c>
      <c r="D5" s="4" t="s">
        <v>490</v>
      </c>
      <c r="E5" s="4" t="s">
        <v>491</v>
      </c>
      <c r="F5" s="4" t="s">
        <v>485</v>
      </c>
    </row>
    <row r="6" ht="31" customHeight="1" spans="1:6">
      <c r="A6" s="4" t="s">
        <v>9</v>
      </c>
      <c r="B6" s="4" t="s">
        <v>62</v>
      </c>
      <c r="C6" s="4" t="s">
        <v>478</v>
      </c>
      <c r="D6" s="4" t="s">
        <v>492</v>
      </c>
      <c r="E6" s="4" t="s">
        <v>493</v>
      </c>
      <c r="F6" s="4" t="s">
        <v>494</v>
      </c>
    </row>
    <row r="7" ht="31" customHeight="1" spans="1:6">
      <c r="A7" s="4" t="s">
        <v>9</v>
      </c>
      <c r="B7" s="4" t="s">
        <v>63</v>
      </c>
      <c r="C7" s="4" t="s">
        <v>478</v>
      </c>
      <c r="D7" s="4" t="s">
        <v>492</v>
      </c>
      <c r="E7" s="4" t="s">
        <v>495</v>
      </c>
      <c r="F7" s="4" t="s">
        <v>496</v>
      </c>
    </row>
    <row r="8" ht="31" customHeight="1" spans="1:6">
      <c r="A8" s="4" t="s">
        <v>9</v>
      </c>
      <c r="B8" s="4" t="s">
        <v>64</v>
      </c>
      <c r="C8" s="4" t="s">
        <v>478</v>
      </c>
      <c r="D8" s="4" t="s">
        <v>492</v>
      </c>
      <c r="E8" s="4" t="s">
        <v>497</v>
      </c>
      <c r="F8" s="4" t="s">
        <v>498</v>
      </c>
    </row>
    <row r="9" ht="31" customHeight="1" spans="1:6">
      <c r="A9" s="4" t="s">
        <v>9</v>
      </c>
      <c r="B9" s="4" t="s">
        <v>65</v>
      </c>
      <c r="C9" s="4" t="s">
        <v>499</v>
      </c>
      <c r="D9" s="4" t="s">
        <v>492</v>
      </c>
      <c r="E9" s="4" t="s">
        <v>500</v>
      </c>
      <c r="F9" s="4" t="s">
        <v>501</v>
      </c>
    </row>
    <row r="10" ht="31" customHeight="1" spans="1:6">
      <c r="A10" s="4" t="s">
        <v>9</v>
      </c>
      <c r="B10" s="4" t="s">
        <v>66</v>
      </c>
      <c r="C10" s="4" t="s">
        <v>499</v>
      </c>
      <c r="D10" s="4" t="s">
        <v>502</v>
      </c>
      <c r="E10" s="4" t="s">
        <v>503</v>
      </c>
      <c r="F10" s="4" t="s">
        <v>504</v>
      </c>
    </row>
    <row r="11" ht="31" customHeight="1" spans="1:6">
      <c r="A11" s="4" t="s">
        <v>9</v>
      </c>
      <c r="B11" s="4" t="s">
        <v>68</v>
      </c>
      <c r="C11" s="4" t="s">
        <v>489</v>
      </c>
      <c r="D11" s="4" t="s">
        <v>505</v>
      </c>
      <c r="E11" s="4" t="s">
        <v>506</v>
      </c>
      <c r="F11" s="4" t="s">
        <v>485</v>
      </c>
    </row>
    <row r="12" ht="31" customHeight="1" spans="1:6">
      <c r="A12" s="4" t="s">
        <v>9</v>
      </c>
      <c r="B12" s="4" t="s">
        <v>69</v>
      </c>
      <c r="C12" s="4" t="s">
        <v>489</v>
      </c>
      <c r="D12" s="4" t="s">
        <v>505</v>
      </c>
      <c r="E12" s="4" t="s">
        <v>507</v>
      </c>
      <c r="F12" s="4" t="s">
        <v>485</v>
      </c>
    </row>
    <row r="13" ht="31" customHeight="1" spans="1:6">
      <c r="A13" s="4" t="s">
        <v>9</v>
      </c>
      <c r="B13" s="4" t="s">
        <v>70</v>
      </c>
      <c r="C13" s="4" t="s">
        <v>489</v>
      </c>
      <c r="D13" s="4" t="s">
        <v>505</v>
      </c>
      <c r="E13" s="4" t="s">
        <v>508</v>
      </c>
      <c r="F13" s="4" t="s">
        <v>485</v>
      </c>
    </row>
    <row r="14" ht="31" customHeight="1" spans="1:6">
      <c r="A14" s="4" t="s">
        <v>9</v>
      </c>
      <c r="B14" s="4" t="s">
        <v>71</v>
      </c>
      <c r="C14" s="4" t="s">
        <v>489</v>
      </c>
      <c r="D14" s="4" t="s">
        <v>505</v>
      </c>
      <c r="E14" s="4" t="s">
        <v>509</v>
      </c>
      <c r="F14" s="4" t="s">
        <v>485</v>
      </c>
    </row>
    <row r="15" ht="31" customHeight="1" spans="1:6">
      <c r="A15" s="4" t="s">
        <v>9</v>
      </c>
      <c r="B15" s="4" t="s">
        <v>72</v>
      </c>
      <c r="C15" s="4" t="s">
        <v>489</v>
      </c>
      <c r="D15" s="4" t="s">
        <v>505</v>
      </c>
      <c r="E15" s="4" t="s">
        <v>510</v>
      </c>
      <c r="F15" s="4" t="s">
        <v>485</v>
      </c>
    </row>
    <row r="16" ht="31" customHeight="1" spans="1:6">
      <c r="A16" s="4" t="s">
        <v>9</v>
      </c>
      <c r="B16" s="4" t="s">
        <v>511</v>
      </c>
      <c r="C16" s="4" t="s">
        <v>489</v>
      </c>
      <c r="D16" s="4" t="s">
        <v>505</v>
      </c>
      <c r="E16" s="4" t="s">
        <v>512</v>
      </c>
      <c r="F16" s="4" t="s">
        <v>485</v>
      </c>
    </row>
    <row r="17" ht="31" customHeight="1" spans="1:6">
      <c r="A17" s="4" t="s">
        <v>9</v>
      </c>
      <c r="B17" s="4" t="s">
        <v>76</v>
      </c>
      <c r="C17" s="4" t="s">
        <v>489</v>
      </c>
      <c r="D17" s="4" t="s">
        <v>505</v>
      </c>
      <c r="E17" s="4" t="s">
        <v>513</v>
      </c>
      <c r="F17" s="4" t="s">
        <v>485</v>
      </c>
    </row>
    <row r="18" ht="31" customHeight="1" spans="1:6">
      <c r="A18" s="4" t="s">
        <v>6</v>
      </c>
      <c r="B18" s="4" t="s">
        <v>514</v>
      </c>
      <c r="C18" s="4" t="s">
        <v>499</v>
      </c>
      <c r="D18" s="4" t="s">
        <v>515</v>
      </c>
      <c r="E18" s="4" t="s">
        <v>516</v>
      </c>
      <c r="F18" s="4" t="s">
        <v>517</v>
      </c>
    </row>
    <row r="19" ht="31" customHeight="1" spans="1:6">
      <c r="A19" s="4" t="s">
        <v>6</v>
      </c>
      <c r="B19" s="4" t="s">
        <v>518</v>
      </c>
      <c r="C19" s="4" t="s">
        <v>499</v>
      </c>
      <c r="D19" s="4" t="s">
        <v>515</v>
      </c>
      <c r="E19" s="4" t="s">
        <v>519</v>
      </c>
      <c r="F19" s="4" t="s">
        <v>520</v>
      </c>
    </row>
    <row r="20" ht="31" customHeight="1" spans="1:6">
      <c r="A20" s="4" t="s">
        <v>17</v>
      </c>
      <c r="B20" s="4" t="s">
        <v>250</v>
      </c>
      <c r="C20" s="4" t="s">
        <v>482</v>
      </c>
      <c r="D20" s="4" t="s">
        <v>483</v>
      </c>
      <c r="E20" s="4" t="s">
        <v>521</v>
      </c>
      <c r="F20" s="4" t="s">
        <v>485</v>
      </c>
    </row>
    <row r="21" ht="31" customHeight="1" spans="1:6">
      <c r="A21" s="4" t="s">
        <v>17</v>
      </c>
      <c r="B21" s="4" t="s">
        <v>232</v>
      </c>
      <c r="C21" s="4" t="s">
        <v>482</v>
      </c>
      <c r="D21" s="4" t="s">
        <v>486</v>
      </c>
      <c r="E21" s="4" t="s">
        <v>522</v>
      </c>
      <c r="F21" s="4" t="s">
        <v>485</v>
      </c>
    </row>
    <row r="22" ht="31" customHeight="1" spans="1:6">
      <c r="A22" s="4" t="s">
        <v>17</v>
      </c>
      <c r="B22" s="4" t="s">
        <v>251</v>
      </c>
      <c r="C22" s="4" t="s">
        <v>478</v>
      </c>
      <c r="D22" s="4" t="s">
        <v>492</v>
      </c>
      <c r="E22" s="4" t="s">
        <v>523</v>
      </c>
      <c r="F22" s="4" t="s">
        <v>485</v>
      </c>
    </row>
    <row r="23" ht="31" customHeight="1" spans="1:6">
      <c r="A23" s="4" t="s">
        <v>17</v>
      </c>
      <c r="B23" s="4" t="s">
        <v>252</v>
      </c>
      <c r="C23" s="4" t="s">
        <v>478</v>
      </c>
      <c r="D23" s="4" t="s">
        <v>492</v>
      </c>
      <c r="E23" s="4" t="s">
        <v>524</v>
      </c>
      <c r="F23" s="4" t="s">
        <v>485</v>
      </c>
    </row>
    <row r="24" ht="31" customHeight="1" spans="1:6">
      <c r="A24" s="4" t="s">
        <v>17</v>
      </c>
      <c r="B24" s="4" t="s">
        <v>253</v>
      </c>
      <c r="C24" s="4" t="s">
        <v>478</v>
      </c>
      <c r="D24" s="4" t="s">
        <v>492</v>
      </c>
      <c r="E24" s="4" t="s">
        <v>525</v>
      </c>
      <c r="F24" s="4" t="s">
        <v>485</v>
      </c>
    </row>
    <row r="25" ht="31" customHeight="1" spans="1:6">
      <c r="A25" s="4" t="s">
        <v>17</v>
      </c>
      <c r="B25" s="4" t="s">
        <v>254</v>
      </c>
      <c r="C25" s="4" t="s">
        <v>478</v>
      </c>
      <c r="D25" s="4" t="s">
        <v>492</v>
      </c>
      <c r="E25" s="4" t="s">
        <v>526</v>
      </c>
      <c r="F25" s="4" t="s">
        <v>485</v>
      </c>
    </row>
    <row r="26" ht="31" customHeight="1" spans="1:6">
      <c r="A26" s="4" t="s">
        <v>17</v>
      </c>
      <c r="B26" s="4" t="s">
        <v>255</v>
      </c>
      <c r="C26" s="4" t="s">
        <v>478</v>
      </c>
      <c r="D26" s="4" t="s">
        <v>492</v>
      </c>
      <c r="E26" s="4" t="s">
        <v>527</v>
      </c>
      <c r="F26" s="4" t="s">
        <v>485</v>
      </c>
    </row>
    <row r="27" ht="31" customHeight="1" spans="1:6">
      <c r="A27" s="4" t="s">
        <v>17</v>
      </c>
      <c r="B27" s="4" t="s">
        <v>256</v>
      </c>
      <c r="C27" s="4" t="s">
        <v>478</v>
      </c>
      <c r="D27" s="4" t="s">
        <v>492</v>
      </c>
      <c r="E27" s="4" t="s">
        <v>528</v>
      </c>
      <c r="F27" s="4" t="s">
        <v>485</v>
      </c>
    </row>
    <row r="28" ht="31" customHeight="1" spans="1:6">
      <c r="A28" s="4" t="s">
        <v>17</v>
      </c>
      <c r="B28" s="4" t="s">
        <v>257</v>
      </c>
      <c r="C28" s="4" t="s">
        <v>478</v>
      </c>
      <c r="D28" s="4" t="s">
        <v>492</v>
      </c>
      <c r="E28" s="4" t="s">
        <v>529</v>
      </c>
      <c r="F28" s="4" t="s">
        <v>485</v>
      </c>
    </row>
    <row r="29" ht="31" customHeight="1" spans="1:6">
      <c r="A29" s="4" t="s">
        <v>17</v>
      </c>
      <c r="B29" s="4" t="s">
        <v>273</v>
      </c>
      <c r="C29" s="4" t="s">
        <v>478</v>
      </c>
      <c r="D29" s="4" t="s">
        <v>530</v>
      </c>
      <c r="E29" s="4" t="s">
        <v>531</v>
      </c>
      <c r="F29" s="4" t="s">
        <v>485</v>
      </c>
    </row>
    <row r="30" ht="31" customHeight="1" spans="1:6">
      <c r="A30" s="4" t="s">
        <v>17</v>
      </c>
      <c r="B30" s="4" t="s">
        <v>274</v>
      </c>
      <c r="C30" s="4" t="s">
        <v>478</v>
      </c>
      <c r="D30" s="4" t="s">
        <v>530</v>
      </c>
      <c r="E30" s="4" t="s">
        <v>532</v>
      </c>
      <c r="F30" s="4" t="s">
        <v>485</v>
      </c>
    </row>
    <row r="31" ht="31" customHeight="1" spans="1:6">
      <c r="A31" s="4" t="s">
        <v>17</v>
      </c>
      <c r="B31" s="4" t="s">
        <v>275</v>
      </c>
      <c r="C31" s="4" t="s">
        <v>478</v>
      </c>
      <c r="D31" s="4" t="s">
        <v>530</v>
      </c>
      <c r="E31" s="4" t="s">
        <v>533</v>
      </c>
      <c r="F31" s="4" t="s">
        <v>485</v>
      </c>
    </row>
    <row r="32" ht="31" customHeight="1" spans="1:6">
      <c r="A32" s="4" t="s">
        <v>17</v>
      </c>
      <c r="B32" s="4" t="s">
        <v>276</v>
      </c>
      <c r="C32" s="4" t="s">
        <v>478</v>
      </c>
      <c r="D32" s="4" t="s">
        <v>534</v>
      </c>
      <c r="E32" s="4" t="s">
        <v>535</v>
      </c>
      <c r="F32" s="4" t="s">
        <v>485</v>
      </c>
    </row>
    <row r="33" ht="31" customHeight="1" spans="1:6">
      <c r="A33" s="4" t="s">
        <v>17</v>
      </c>
      <c r="B33" s="4" t="s">
        <v>277</v>
      </c>
      <c r="C33" s="4" t="s">
        <v>478</v>
      </c>
      <c r="D33" s="4" t="s">
        <v>536</v>
      </c>
      <c r="E33" s="4" t="s">
        <v>537</v>
      </c>
      <c r="F33" s="4" t="s">
        <v>485</v>
      </c>
    </row>
    <row r="34" ht="31" customHeight="1" spans="1:6">
      <c r="A34" s="4" t="s">
        <v>17</v>
      </c>
      <c r="B34" s="4" t="s">
        <v>278</v>
      </c>
      <c r="C34" s="4" t="s">
        <v>489</v>
      </c>
      <c r="D34" s="4" t="s">
        <v>538</v>
      </c>
      <c r="E34" s="4" t="s">
        <v>539</v>
      </c>
      <c r="F34" s="4" t="s">
        <v>540</v>
      </c>
    </row>
    <row r="35" ht="31" customHeight="1" spans="1:6">
      <c r="A35" s="4" t="s">
        <v>17</v>
      </c>
      <c r="B35" s="4" t="s">
        <v>279</v>
      </c>
      <c r="C35" s="4" t="s">
        <v>489</v>
      </c>
      <c r="D35" s="4" t="s">
        <v>538</v>
      </c>
      <c r="E35" s="4" t="s">
        <v>541</v>
      </c>
      <c r="F35" s="4" t="s">
        <v>540</v>
      </c>
    </row>
    <row r="36" ht="31" customHeight="1" spans="1:6">
      <c r="A36" s="4" t="s">
        <v>17</v>
      </c>
      <c r="B36" s="4" t="s">
        <v>280</v>
      </c>
      <c r="C36" s="4" t="s">
        <v>489</v>
      </c>
      <c r="D36" s="4" t="s">
        <v>538</v>
      </c>
      <c r="E36" s="4" t="s">
        <v>542</v>
      </c>
      <c r="F36" s="4" t="s">
        <v>485</v>
      </c>
    </row>
    <row r="37" ht="31" customHeight="1" spans="1:6">
      <c r="A37" s="4" t="s">
        <v>17</v>
      </c>
      <c r="B37" s="4" t="s">
        <v>281</v>
      </c>
      <c r="C37" s="4" t="s">
        <v>478</v>
      </c>
      <c r="D37" s="4" t="s">
        <v>543</v>
      </c>
      <c r="E37" s="4" t="s">
        <v>544</v>
      </c>
      <c r="F37" s="4" t="s">
        <v>485</v>
      </c>
    </row>
    <row r="38" ht="31" customHeight="1" spans="1:6">
      <c r="A38" s="4" t="s">
        <v>17</v>
      </c>
      <c r="B38" s="4" t="s">
        <v>282</v>
      </c>
      <c r="C38" s="4" t="s">
        <v>478</v>
      </c>
      <c r="D38" s="4" t="s">
        <v>543</v>
      </c>
      <c r="E38" s="4" t="s">
        <v>545</v>
      </c>
      <c r="F38" s="4" t="s">
        <v>485</v>
      </c>
    </row>
    <row r="39" ht="31" customHeight="1" spans="1:6">
      <c r="A39" s="4" t="s">
        <v>17</v>
      </c>
      <c r="B39" s="4" t="s">
        <v>546</v>
      </c>
      <c r="C39" s="4" t="s">
        <v>478</v>
      </c>
      <c r="D39" s="4" t="s">
        <v>543</v>
      </c>
      <c r="E39" s="4" t="s">
        <v>547</v>
      </c>
      <c r="F39" s="4" t="s">
        <v>485</v>
      </c>
    </row>
    <row r="40" ht="31" customHeight="1" spans="1:6">
      <c r="A40" s="4" t="s">
        <v>17</v>
      </c>
      <c r="B40" s="4" t="s">
        <v>286</v>
      </c>
      <c r="C40" s="4" t="s">
        <v>478</v>
      </c>
      <c r="D40" s="4" t="s">
        <v>492</v>
      </c>
      <c r="E40" s="4" t="s">
        <v>548</v>
      </c>
      <c r="F40" s="4" t="s">
        <v>485</v>
      </c>
    </row>
    <row r="41" ht="31" customHeight="1" spans="1:6">
      <c r="A41" s="4" t="s">
        <v>17</v>
      </c>
      <c r="B41" s="4" t="s">
        <v>287</v>
      </c>
      <c r="C41" s="4" t="s">
        <v>499</v>
      </c>
      <c r="D41" s="4" t="s">
        <v>492</v>
      </c>
      <c r="E41" s="4" t="s">
        <v>549</v>
      </c>
      <c r="F41" s="4" t="s">
        <v>550</v>
      </c>
    </row>
    <row r="42" ht="31" customHeight="1" spans="1:6">
      <c r="A42" s="4" t="s">
        <v>14</v>
      </c>
      <c r="B42" s="4" t="s">
        <v>551</v>
      </c>
      <c r="C42" s="4" t="s">
        <v>478</v>
      </c>
      <c r="D42" s="4" t="s">
        <v>492</v>
      </c>
      <c r="E42" s="4" t="s">
        <v>552</v>
      </c>
      <c r="F42" s="4" t="s">
        <v>553</v>
      </c>
    </row>
    <row r="43" ht="31" customHeight="1" spans="1:6">
      <c r="A43" s="4" t="s">
        <v>14</v>
      </c>
      <c r="B43" s="4" t="s">
        <v>258</v>
      </c>
      <c r="C43" s="4" t="s">
        <v>499</v>
      </c>
      <c r="D43" s="4" t="s">
        <v>492</v>
      </c>
      <c r="E43" s="4" t="s">
        <v>554</v>
      </c>
      <c r="F43" s="4" t="s">
        <v>555</v>
      </c>
    </row>
    <row r="44" ht="31" customHeight="1" spans="1:6">
      <c r="A44" s="4" t="s">
        <v>14</v>
      </c>
      <c r="B44" s="4" t="s">
        <v>259</v>
      </c>
      <c r="C44" s="4" t="s">
        <v>499</v>
      </c>
      <c r="D44" s="4" t="s">
        <v>534</v>
      </c>
      <c r="E44" s="4" t="s">
        <v>556</v>
      </c>
      <c r="F44" s="4" t="s">
        <v>517</v>
      </c>
    </row>
    <row r="45" ht="31" customHeight="1" spans="1:6">
      <c r="A45" s="4" t="s">
        <v>14</v>
      </c>
      <c r="B45" s="4" t="s">
        <v>260</v>
      </c>
      <c r="C45" s="4" t="s">
        <v>499</v>
      </c>
      <c r="D45" s="4" t="s">
        <v>536</v>
      </c>
      <c r="E45" s="4" t="s">
        <v>557</v>
      </c>
      <c r="F45" s="4" t="s">
        <v>517</v>
      </c>
    </row>
    <row r="46" ht="31" customHeight="1" spans="1:6">
      <c r="A46" s="4" t="s">
        <v>14</v>
      </c>
      <c r="B46" s="4" t="s">
        <v>261</v>
      </c>
      <c r="C46" s="4" t="s">
        <v>499</v>
      </c>
      <c r="D46" s="4" t="s">
        <v>492</v>
      </c>
      <c r="E46" s="4" t="s">
        <v>558</v>
      </c>
      <c r="F46" s="4" t="s">
        <v>559</v>
      </c>
    </row>
    <row r="47" ht="31" customHeight="1" spans="1:6">
      <c r="A47" s="4" t="s">
        <v>11</v>
      </c>
      <c r="B47" s="4" t="s">
        <v>560</v>
      </c>
      <c r="C47" s="4" t="s">
        <v>499</v>
      </c>
      <c r="D47" s="4" t="s">
        <v>530</v>
      </c>
      <c r="E47" s="4" t="s">
        <v>561</v>
      </c>
      <c r="F47" s="4" t="s">
        <v>562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showGridLines="0" workbookViewId="0">
      <selection activeCell="A1" sqref="A1"/>
    </sheetView>
  </sheetViews>
  <sheetFormatPr defaultColWidth="9" defaultRowHeight="14.4" outlineLevelCol="5"/>
  <cols>
    <col min="1" max="1" width="22" customWidth="1"/>
    <col min="2" max="2" width="80" customWidth="1"/>
    <col min="3" max="3" width="58" customWidth="1"/>
    <col min="4" max="4" width="12" customWidth="1"/>
    <col min="5" max="5" width="68" customWidth="1"/>
    <col min="6" max="6" width="22" customWidth="1"/>
  </cols>
  <sheetData>
    <row r="1" ht="34" customHeight="1" spans="1:6">
      <c r="A1" s="1" t="s">
        <v>563</v>
      </c>
      <c r="B1" s="2" t="s">
        <v>564</v>
      </c>
      <c r="C1" s="2" t="s">
        <v>565</v>
      </c>
      <c r="D1" s="2" t="s">
        <v>566</v>
      </c>
      <c r="E1" s="2" t="s">
        <v>567</v>
      </c>
      <c r="F1" s="3" t="s">
        <v>568</v>
      </c>
    </row>
    <row r="2" ht="34" customHeight="1" spans="1:6">
      <c r="A2" s="4" t="s">
        <v>569</v>
      </c>
      <c r="B2" s="4" t="s">
        <v>570</v>
      </c>
      <c r="C2" s="4" t="s">
        <v>571</v>
      </c>
      <c r="D2" s="4">
        <v>120</v>
      </c>
      <c r="E2" s="4" t="s">
        <v>572</v>
      </c>
      <c r="F2" s="4" t="s">
        <v>573</v>
      </c>
    </row>
    <row r="3" ht="34" customHeight="1" spans="1:6">
      <c r="A3" s="4" t="s">
        <v>574</v>
      </c>
      <c r="B3" s="4" t="s">
        <v>575</v>
      </c>
      <c r="C3" s="4" t="s">
        <v>576</v>
      </c>
      <c r="D3" s="4">
        <v>6</v>
      </c>
      <c r="E3" s="4" t="s">
        <v>577</v>
      </c>
      <c r="F3" s="4" t="s">
        <v>573</v>
      </c>
    </row>
    <row r="4" ht="34" customHeight="1" spans="1:6">
      <c r="A4" s="4" t="s">
        <v>578</v>
      </c>
      <c r="B4" s="4" t="s">
        <v>579</v>
      </c>
      <c r="C4" s="4" t="s">
        <v>580</v>
      </c>
      <c r="D4" s="4">
        <v>180</v>
      </c>
      <c r="E4" s="4" t="s">
        <v>581</v>
      </c>
      <c r="F4" s="4" t="s">
        <v>573</v>
      </c>
    </row>
    <row r="5" ht="34" customHeight="1" spans="1:6">
      <c r="A5" s="4" t="s">
        <v>582</v>
      </c>
      <c r="B5" s="4" t="s">
        <v>583</v>
      </c>
      <c r="C5" s="4" t="s">
        <v>584</v>
      </c>
      <c r="D5" s="4">
        <v>9</v>
      </c>
      <c r="E5" s="4" t="s">
        <v>585</v>
      </c>
      <c r="F5" s="4" t="s">
        <v>573</v>
      </c>
    </row>
    <row r="6" ht="34" customHeight="1" spans="1:6">
      <c r="A6" s="4" t="s">
        <v>586</v>
      </c>
      <c r="B6" s="4" t="s">
        <v>587</v>
      </c>
      <c r="C6" s="4" t="s">
        <v>588</v>
      </c>
      <c r="D6" s="4">
        <v>180</v>
      </c>
      <c r="E6" s="4" t="s">
        <v>589</v>
      </c>
      <c r="F6" s="4" t="s">
        <v>573</v>
      </c>
    </row>
    <row r="7" ht="34" customHeight="1" spans="1:6">
      <c r="A7" s="4" t="s">
        <v>590</v>
      </c>
      <c r="B7" s="4" t="s">
        <v>591</v>
      </c>
      <c r="C7" s="4" t="s">
        <v>592</v>
      </c>
      <c r="D7" s="4">
        <v>9</v>
      </c>
      <c r="E7" s="4" t="s">
        <v>593</v>
      </c>
      <c r="F7" s="4" t="s">
        <v>573</v>
      </c>
    </row>
    <row r="8" ht="34" customHeight="1" spans="1:6">
      <c r="A8" s="4" t="s">
        <v>594</v>
      </c>
      <c r="B8" s="4" t="s">
        <v>595</v>
      </c>
      <c r="C8" s="4" t="s">
        <v>596</v>
      </c>
      <c r="D8" s="4"/>
      <c r="E8" s="4" t="s">
        <v>597</v>
      </c>
      <c r="F8" s="4" t="s">
        <v>573</v>
      </c>
    </row>
    <row r="9" ht="34" customHeight="1" spans="1:6">
      <c r="A9" s="4" t="s">
        <v>598</v>
      </c>
      <c r="B9" s="4" t="s">
        <v>599</v>
      </c>
      <c r="C9" s="4" t="s">
        <v>600</v>
      </c>
      <c r="D9" s="4"/>
      <c r="E9" s="4" t="s">
        <v>601</v>
      </c>
      <c r="F9" s="4" t="s">
        <v>573</v>
      </c>
    </row>
    <row r="10" ht="34" customHeight="1" spans="1:6">
      <c r="A10" s="4" t="s">
        <v>602</v>
      </c>
      <c r="B10" s="4" t="s">
        <v>603</v>
      </c>
      <c r="C10" s="4" t="s">
        <v>604</v>
      </c>
      <c r="D10" s="4"/>
      <c r="E10" s="4" t="s">
        <v>605</v>
      </c>
      <c r="F10" s="4" t="s">
        <v>573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Fig2a Align Summary</vt:lpstr>
      <vt:lpstr>Fig2a Align Raw</vt:lpstr>
      <vt:lpstr>Fig2b Heatmap</vt:lpstr>
      <vt:lpstr>Fig2c-e Model Summary</vt:lpstr>
      <vt:lpstr>Fig2c-e Model Raw</vt:lpstr>
      <vt:lpstr>Data Dictionary</vt:lpstr>
      <vt:lpstr>Provenance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周宗泰</cp:lastModifiedBy>
  <dcterms:created xsi:type="dcterms:W3CDTF">2026-09-02T16:46:33Z</dcterms:created>
  <dcterms:modified xsi:type="dcterms:W3CDTF">2026-09-02T16:47:00Z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1711F2A47D1646ACAFABEF9E4CB34ACD_12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